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Summaries" sheetId="2" state="visible" r:id="rId2"/>
    <sheet xmlns:r="http://schemas.openxmlformats.org/officeDocument/2006/relationships" name="Risk 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9" customWidth="1" min="3" max="3"/>
    <col width="50" customWidth="1" min="4" max="4"/>
    <col width="12" customWidth="1" min="5" max="5"/>
    <col width="14" customWidth="1" min="6" max="6"/>
    <col width="50" customWidth="1" min="7" max="7"/>
    <col width="14" customWidth="1" min="8" max="8"/>
    <col width="50" customWidth="1" min="9" max="9"/>
    <col width="18" customWidth="1" min="10" max="10"/>
    <col width="14" customWidth="1" min="11" max="11"/>
    <col width="10" customWidth="1" min="12" max="12"/>
    <col width="10" customWidth="1" min="13" max="13"/>
    <col width="17" customWidth="1" min="14" max="14"/>
    <col width="25" customWidth="1" min="15" max="15"/>
  </cols>
  <sheetData>
    <row r="1">
      <c r="A1" s="1" t="inlineStr">
        <is>
          <t>ContractID</t>
        </is>
      </c>
      <c r="B1" s="1" t="inlineStr">
        <is>
          <t>FileName</t>
        </is>
      </c>
      <c r="C1" s="1" t="inlineStr">
        <is>
          <t>FieldName</t>
        </is>
      </c>
      <c r="D1" s="1" t="inlineStr">
        <is>
          <t>ExtractedValue</t>
        </is>
      </c>
      <c r="E1" s="1" t="inlineStr">
        <is>
          <t>Confidence</t>
        </is>
      </c>
      <c r="F1" s="1" t="inlineStr">
        <is>
          <t>EvidencePage</t>
        </is>
      </c>
      <c r="G1" s="1" t="inlineStr">
        <is>
          <t>EvidenceSnippet</t>
        </is>
      </c>
      <c r="H1" s="1" t="inlineStr">
        <is>
          <t>SeverityFlag</t>
        </is>
      </c>
      <c r="I1" s="1" t="inlineStr">
        <is>
          <t>RiskMessage</t>
        </is>
      </c>
      <c r="J1" s="1" t="inlineStr">
        <is>
          <t>ReviewerOverride</t>
        </is>
      </c>
      <c r="K1" s="1" t="inlineStr">
        <is>
          <t>ChangeReason</t>
        </is>
      </c>
      <c r="L1" s="1" t="inlineStr">
        <is>
          <t>Approved</t>
        </is>
      </c>
      <c r="M1" s="1" t="inlineStr">
        <is>
          <t>Reviewer</t>
        </is>
      </c>
      <c r="N1" s="1" t="inlineStr">
        <is>
          <t>ReviewTimestamp</t>
        </is>
      </c>
      <c r="O1" s="1" t="inlineStr">
        <is>
          <t>FinalValue</t>
        </is>
      </c>
    </row>
    <row r="2">
      <c r="A2" t="inlineStr">
        <is>
          <t>CTR-001</t>
        </is>
      </c>
      <c r="B2" t="inlineStr">
        <is>
          <t>CTR-001_MSA_Apex_Industrial.pdf</t>
        </is>
      </c>
      <c r="C2" t="inlineStr">
        <is>
          <t>Supplier</t>
        </is>
      </c>
      <c r="D2" t="inlineStr">
        <is>
          <t>Apex Industrial Services LLC</t>
        </is>
      </c>
      <c r="E2" t="n">
        <v>0.95</v>
      </c>
      <c r="F2" t="n">
        <v>1</v>
      </c>
      <c r="G2" t="inlineStr">
        <is>
          <t>Apex Industrial Services LLC ("Supplier")</t>
        </is>
      </c>
      <c r="H2" t="inlineStr"/>
      <c r="I2" t="inlineStr"/>
      <c r="O2">
        <f>IF(J2&lt;&gt;"",J2,D2)</f>
        <v/>
      </c>
    </row>
    <row r="3">
      <c r="A3" t="inlineStr">
        <is>
          <t>CTR-001</t>
        </is>
      </c>
      <c r="B3" t="inlineStr">
        <is>
          <t>CTR-001_MSA_Apex_Industrial.pdf</t>
        </is>
      </c>
      <c r="C3" t="inlineStr">
        <is>
          <t>ContractType</t>
        </is>
      </c>
      <c r="D3" t="inlineStr">
        <is>
          <t>Master Service Agreement</t>
        </is>
      </c>
      <c r="E3" t="n">
        <v>0.95</v>
      </c>
      <c r="F3" t="n">
        <v>1</v>
      </c>
      <c r="G3" t="inlineStr">
        <is>
          <t>MASTER SERVICE AGREEMENT</t>
        </is>
      </c>
      <c r="H3" t="inlineStr"/>
      <c r="I3" t="inlineStr"/>
      <c r="O3">
        <f>IF(J3&lt;&gt;"",J3,D3)</f>
        <v/>
      </c>
    </row>
    <row r="4">
      <c r="A4" t="inlineStr">
        <is>
          <t>CTR-001</t>
        </is>
      </c>
      <c r="B4" t="inlineStr">
        <is>
          <t>CTR-001_MSA_Apex_Industrial.pdf</t>
        </is>
      </c>
      <c r="C4" t="inlineStr">
        <is>
          <t>EffectiveDate</t>
        </is>
      </c>
      <c r="D4" t="inlineStr">
        <is>
          <t>2024-01-15</t>
        </is>
      </c>
      <c r="E4" t="n">
        <v>0.95</v>
      </c>
      <c r="F4" t="n">
        <v>1</v>
      </c>
      <c r="G4" t="inlineStr">
        <is>
          <t>entered into as of 2024-01-15 ("Effective Date")</t>
        </is>
      </c>
      <c r="H4" t="inlineStr"/>
      <c r="I4" t="inlineStr"/>
      <c r="O4">
        <f>IF(J4&lt;&gt;"",J4,D4)</f>
        <v/>
      </c>
    </row>
    <row r="5">
      <c r="A5" t="inlineStr">
        <is>
          <t>CTR-001</t>
        </is>
      </c>
      <c r="B5" t="inlineStr">
        <is>
          <t>CTR-001_MSA_Apex_Industrial.pdf</t>
        </is>
      </c>
      <c r="C5" t="inlineStr">
        <is>
          <t>ExpirationDate</t>
        </is>
      </c>
      <c r="D5" t="inlineStr">
        <is>
          <t>2027-01-14</t>
        </is>
      </c>
      <c r="E5" t="n">
        <v>0.95</v>
      </c>
      <c r="F5" t="n">
        <v>1</v>
      </c>
      <c r="G5" t="inlineStr">
        <is>
          <t>Expiration Date: 2027-01-14</t>
        </is>
      </c>
      <c r="H5" t="inlineStr"/>
      <c r="I5" t="inlineStr"/>
      <c r="O5">
        <f>IF(J5&lt;&gt;"",J5,D5)</f>
        <v/>
      </c>
    </row>
    <row r="6">
      <c r="A6" t="inlineStr">
        <is>
          <t>CTR-001</t>
        </is>
      </c>
      <c r="B6" t="inlineStr">
        <is>
          <t>CTR-001_MSA_Apex_Industrial.pdf</t>
        </is>
      </c>
      <c r="C6" t="inlineStr">
        <is>
          <t>ContractValue</t>
        </is>
      </c>
      <c r="D6" t="inlineStr">
        <is>
          <t>$2,500,000</t>
        </is>
      </c>
      <c r="E6" t="n">
        <v>0.95</v>
      </c>
      <c r="F6" t="n">
        <v>1</v>
      </c>
      <c r="G6" t="inlineStr">
        <is>
          <t>Total Contract Value: $2,500,000</t>
        </is>
      </c>
      <c r="H6" t="inlineStr"/>
      <c r="I6" t="inlineStr"/>
      <c r="O6">
        <f>IF(J6&lt;&gt;"",J6,D6)</f>
        <v/>
      </c>
    </row>
    <row r="7">
      <c r="A7" t="inlineStr">
        <is>
          <t>CTR-001</t>
        </is>
      </c>
      <c r="B7" t="inlineStr">
        <is>
          <t>CTR-001_MSA_Apex_Industrial.pdf</t>
        </is>
      </c>
      <c r="C7" t="inlineStr">
        <is>
          <t>BusinessEntity</t>
        </is>
      </c>
      <c r="D7" t="inlineStr">
        <is>
          <t>Braden Corp - North Division</t>
        </is>
      </c>
      <c r="E7" t="n">
        <v>0.95</v>
      </c>
      <c r="F7" t="n">
        <v>1</v>
      </c>
      <c r="G7" t="inlineStr">
        <is>
          <t>Braden Corp - North Division ("Client")</t>
        </is>
      </c>
      <c r="H7" t="inlineStr"/>
      <c r="I7" t="inlineStr"/>
      <c r="O7">
        <f>IF(J7&lt;&gt;"",J7,D7)</f>
        <v/>
      </c>
    </row>
    <row r="8">
      <c r="A8" t="inlineStr">
        <is>
          <t>CTR-001</t>
        </is>
      </c>
      <c r="B8" t="inlineStr">
        <is>
          <t>CTR-001_MSA_Apex_Industrial.pdf</t>
        </is>
      </c>
      <c r="C8" t="inlineStr">
        <is>
          <t>GoverningLaw</t>
        </is>
      </c>
      <c r="D8" t="inlineStr">
        <is>
          <t>Delaware</t>
        </is>
      </c>
      <c r="E8" t="n">
        <v>0.95</v>
      </c>
      <c r="F8" t="n">
        <v>1</v>
      </c>
      <c r="G8" t="inlineStr">
        <is>
          <t>laws of the State of Delaware</t>
        </is>
      </c>
      <c r="H8" t="inlineStr"/>
      <c r="I8" t="inlineStr"/>
      <c r="O8">
        <f>IF(J8&lt;&gt;"",J8,D8)</f>
        <v/>
      </c>
    </row>
    <row r="9">
      <c r="A9" t="inlineStr">
        <is>
          <t>CTR-001</t>
        </is>
      </c>
      <c r="B9" t="inlineStr">
        <is>
          <t>CTR-001_MSA_Apex_Industrial.pdf</t>
        </is>
      </c>
      <c r="C9" t="inlineStr">
        <is>
          <t>PaymentTerms</t>
        </is>
      </c>
      <c r="D9" t="inlineStr">
        <is>
          <t>Net 30</t>
        </is>
      </c>
      <c r="E9" t="n">
        <v>0.95</v>
      </c>
      <c r="F9" t="n">
        <v>1</v>
      </c>
      <c r="G9" t="inlineStr">
        <is>
          <t>Payment Terms: Net 30</t>
        </is>
      </c>
      <c r="H9" t="inlineStr"/>
      <c r="I9" t="inlineStr"/>
      <c r="O9">
        <f>IF(J9&lt;&gt;"",J9,D9)</f>
        <v/>
      </c>
    </row>
    <row r="10">
      <c r="A10" t="inlineStr">
        <is>
          <t>CTR-001</t>
        </is>
      </c>
      <c r="B10" t="inlineStr">
        <is>
          <t>CTR-001_MSA_Apex_Industrial.pdf</t>
        </is>
      </c>
      <c r="C10" t="inlineStr">
        <is>
          <t>AutoRenewal</t>
        </is>
      </c>
      <c r="E10" t="n">
        <v>0</v>
      </c>
      <c r="H10" t="inlineStr"/>
      <c r="I10" t="inlineStr"/>
      <c r="O10">
        <f>IF(J10&lt;&gt;"",J10,D10)</f>
        <v/>
      </c>
    </row>
    <row r="11">
      <c r="A11" t="inlineStr">
        <is>
          <t>CTR-001</t>
        </is>
      </c>
      <c r="B11" t="inlineStr">
        <is>
          <t>CTR-001_MSA_Apex_Industrial.pdf</t>
        </is>
      </c>
      <c r="C11" t="inlineStr">
        <is>
          <t>LiabilityCap</t>
        </is>
      </c>
      <c r="D11" t="inlineStr">
        <is>
          <t>total fees paid or payable by Client to Supplier in the twelve (12) months preceding the claim</t>
        </is>
      </c>
      <c r="E11" t="n">
        <v>0.95</v>
      </c>
      <c r="F11" t="n">
        <v>1</v>
      </c>
      <c r="G11" t="inlineStr">
        <is>
          <t>exceed the total fees paid or payable by Client to Supplier in the twelve (12) months</t>
        </is>
      </c>
      <c r="H11" t="inlineStr"/>
      <c r="I11" t="inlineStr"/>
      <c r="O11">
        <f>IF(J11&lt;&gt;"",J11,D11)</f>
        <v/>
      </c>
    </row>
    <row r="12">
      <c r="A12" t="inlineStr">
        <is>
          <t>CTR-001</t>
        </is>
      </c>
      <c r="B12" t="inlineStr">
        <is>
          <t>CTR-001_MSA_Apex_Industrial.pdf</t>
        </is>
      </c>
      <c r="C12" t="inlineStr">
        <is>
          <t>TerminationClause</t>
        </is>
      </c>
      <c r="D12" t="inlineStr">
        <is>
          <t>Termination for Convenience upon thirty (30) days prior written notice</t>
        </is>
      </c>
      <c r="E12" t="n">
        <v>0.95</v>
      </c>
      <c r="F12" t="n">
        <v>1</v>
      </c>
      <c r="G12" t="inlineStr">
        <is>
          <t>terminate this Agreement for any reason upon thirty (30) days prior written notice</t>
        </is>
      </c>
      <c r="H12" t="inlineStr"/>
      <c r="I12" t="inlineStr"/>
      <c r="O12">
        <f>IF(J12&lt;&gt;"",J12,D12)</f>
        <v/>
      </c>
    </row>
    <row r="13">
      <c r="A13" t="inlineStr">
        <is>
          <t>CTR-002</t>
        </is>
      </c>
      <c r="B13" t="inlineStr">
        <is>
          <t>CTR-002_MSA_Summit_Logistics.pdf</t>
        </is>
      </c>
      <c r="C13" t="inlineStr">
        <is>
          <t>Supplier</t>
        </is>
      </c>
      <c r="D13" t="inlineStr">
        <is>
          <t>Summit Logistics Partners Inc.</t>
        </is>
      </c>
      <c r="E13" t="n">
        <v>1</v>
      </c>
      <c r="F13" t="n">
        <v>1</v>
      </c>
      <c r="G13" t="inlineStr">
        <is>
          <t>Summit Logistics Partners Inc. ("Supplier")</t>
        </is>
      </c>
      <c r="H13" t="inlineStr"/>
      <c r="I13" t="inlineStr"/>
      <c r="O13">
        <f>IF(J13&lt;&gt;"",J13,D13)</f>
        <v/>
      </c>
    </row>
    <row r="14">
      <c r="A14" t="inlineStr">
        <is>
          <t>CTR-002</t>
        </is>
      </c>
      <c r="B14" t="inlineStr">
        <is>
          <t>CTR-002_MSA_Summit_Logistics.pdf</t>
        </is>
      </c>
      <c r="C14" t="inlineStr">
        <is>
          <t>ContractType</t>
        </is>
      </c>
      <c r="D14" t="inlineStr">
        <is>
          <t>Master Service Agreement</t>
        </is>
      </c>
      <c r="E14" t="n">
        <v>1</v>
      </c>
      <c r="F14" t="n">
        <v>1</v>
      </c>
      <c r="G14" t="inlineStr">
        <is>
          <t>MASTER SERVICE AGREEMENT</t>
        </is>
      </c>
      <c r="H14" t="inlineStr"/>
      <c r="I14" t="inlineStr"/>
      <c r="O14">
        <f>IF(J14&lt;&gt;"",J14,D14)</f>
        <v/>
      </c>
    </row>
    <row r="15">
      <c r="A15" t="inlineStr">
        <is>
          <t>CTR-002</t>
        </is>
      </c>
      <c r="B15" t="inlineStr">
        <is>
          <t>CTR-002_MSA_Summit_Logistics.pdf</t>
        </is>
      </c>
      <c r="C15" t="inlineStr">
        <is>
          <t>EffectiveDate</t>
        </is>
      </c>
      <c r="D15" t="inlineStr">
        <is>
          <t>2023-06-01</t>
        </is>
      </c>
      <c r="E15" t="n">
        <v>1</v>
      </c>
      <c r="F15" t="n">
        <v>1</v>
      </c>
      <c r="G15" t="inlineStr">
        <is>
          <t>entered into as of 2023-06-01 ("Effective Date")</t>
        </is>
      </c>
      <c r="H15" t="inlineStr"/>
      <c r="I15" t="inlineStr"/>
      <c r="O15">
        <f>IF(J15&lt;&gt;"",J15,D15)</f>
        <v/>
      </c>
    </row>
    <row r="16">
      <c r="A16" t="inlineStr">
        <is>
          <t>CTR-002</t>
        </is>
      </c>
      <c r="B16" t="inlineStr">
        <is>
          <t>CTR-002_MSA_Summit_Logistics.pdf</t>
        </is>
      </c>
      <c r="C16" t="inlineStr">
        <is>
          <t>ExpirationDate</t>
        </is>
      </c>
      <c r="D16" t="inlineStr">
        <is>
          <t>2026-05-31</t>
        </is>
      </c>
      <c r="E16" t="n">
        <v>1</v>
      </c>
      <c r="F16" t="n">
        <v>1</v>
      </c>
      <c r="G16" t="inlineStr">
        <is>
          <t>Expiration Date: 2026-05-31</t>
        </is>
      </c>
      <c r="H16" t="inlineStr">
        <is>
          <t>Medium</t>
        </is>
      </c>
      <c r="I16" t="inlineStr">
        <is>
          <t>Contract expiring within 90 days -- renewal decision needed</t>
        </is>
      </c>
      <c r="O16">
        <f>IF(J16&lt;&gt;"",J16,D16)</f>
        <v/>
      </c>
    </row>
    <row r="17">
      <c r="A17" t="inlineStr">
        <is>
          <t>CTR-002</t>
        </is>
      </c>
      <c r="B17" t="inlineStr">
        <is>
          <t>CTR-002_MSA_Summit_Logistics.pdf</t>
        </is>
      </c>
      <c r="C17" t="inlineStr">
        <is>
          <t>ContractValue</t>
        </is>
      </c>
      <c r="D17" t="inlineStr">
        <is>
          <t>$1,800,000</t>
        </is>
      </c>
      <c r="E17" t="n">
        <v>1</v>
      </c>
      <c r="F17" t="n">
        <v>1</v>
      </c>
      <c r="G17" t="inlineStr">
        <is>
          <t>Total Contract Value: $1,800,000</t>
        </is>
      </c>
      <c r="H17" t="inlineStr"/>
      <c r="I17" t="inlineStr"/>
      <c r="O17">
        <f>IF(J17&lt;&gt;"",J17,D17)</f>
        <v/>
      </c>
    </row>
    <row r="18">
      <c r="A18" t="inlineStr">
        <is>
          <t>CTR-002</t>
        </is>
      </c>
      <c r="B18" t="inlineStr">
        <is>
          <t>CTR-002_MSA_Summit_Logistics.pdf</t>
        </is>
      </c>
      <c r="C18" t="inlineStr">
        <is>
          <t>BusinessEntity</t>
        </is>
      </c>
      <c r="D18" t="inlineStr">
        <is>
          <t>Braden Corp - Supply Chain</t>
        </is>
      </c>
      <c r="E18" t="n">
        <v>1</v>
      </c>
      <c r="F18" t="n">
        <v>1</v>
      </c>
      <c r="G18" t="inlineStr">
        <is>
          <t>Braden Corp - Supply Chain ("Client")</t>
        </is>
      </c>
      <c r="H18" t="inlineStr"/>
      <c r="I18" t="inlineStr"/>
      <c r="O18">
        <f>IF(J18&lt;&gt;"",J18,D18)</f>
        <v/>
      </c>
    </row>
    <row r="19">
      <c r="A19" t="inlineStr">
        <is>
          <t>CTR-002</t>
        </is>
      </c>
      <c r="B19" t="inlineStr">
        <is>
          <t>CTR-002_MSA_Summit_Logistics.pdf</t>
        </is>
      </c>
      <c r="C19" t="inlineStr">
        <is>
          <t>GoverningLaw</t>
        </is>
      </c>
      <c r="D19" t="inlineStr">
        <is>
          <t>State of Texas</t>
        </is>
      </c>
      <c r="E19" t="n">
        <v>1</v>
      </c>
      <c r="F19" t="n">
        <v>1</v>
      </c>
      <c r="G19" t="inlineStr">
        <is>
          <t>laws of the State of Texas</t>
        </is>
      </c>
      <c r="H19" t="inlineStr"/>
      <c r="I19" t="inlineStr"/>
      <c r="O19">
        <f>IF(J19&lt;&gt;"",J19,D19)</f>
        <v/>
      </c>
    </row>
    <row r="20">
      <c r="A20" t="inlineStr">
        <is>
          <t>CTR-002</t>
        </is>
      </c>
      <c r="B20" t="inlineStr">
        <is>
          <t>CTR-002_MSA_Summit_Logistics.pdf</t>
        </is>
      </c>
      <c r="C20" t="inlineStr">
        <is>
          <t>PaymentTerms</t>
        </is>
      </c>
      <c r="D20" t="inlineStr">
        <is>
          <t>Net 45</t>
        </is>
      </c>
      <c r="E20" t="n">
        <v>1</v>
      </c>
      <c r="F20" t="n">
        <v>1</v>
      </c>
      <c r="G20" t="inlineStr">
        <is>
          <t>Payment Terms: Net 45</t>
        </is>
      </c>
      <c r="H20" t="inlineStr"/>
      <c r="I20" t="inlineStr"/>
      <c r="O20">
        <f>IF(J20&lt;&gt;"",J20,D20)</f>
        <v/>
      </c>
    </row>
    <row r="21">
      <c r="A21" t="inlineStr">
        <is>
          <t>CTR-002</t>
        </is>
      </c>
      <c r="B21" t="inlineStr">
        <is>
          <t>CTR-002_MSA_Summit_Logistics.pdf</t>
        </is>
      </c>
      <c r="C21" t="inlineStr">
        <is>
          <t>AutoRenewal</t>
        </is>
      </c>
      <c r="E21" t="n">
        <v>0</v>
      </c>
      <c r="H21" t="inlineStr"/>
      <c r="I21" t="inlineStr"/>
      <c r="O21">
        <f>IF(J21&lt;&gt;"",J21,D21)</f>
        <v/>
      </c>
    </row>
    <row r="22">
      <c r="A22" t="inlineStr">
        <is>
          <t>CTR-002</t>
        </is>
      </c>
      <c r="B22" t="inlineStr">
        <is>
          <t>CTR-002_MSA_Summit_Logistics.pdf</t>
        </is>
      </c>
      <c r="C22" t="inlineStr">
        <is>
          <t>LiabilityCap</t>
        </is>
      </c>
      <c r="D22" t="inlineStr">
        <is>
          <t>total fees paid or payable by Client to Supplier in the twelve (12) months preceding the claim</t>
        </is>
      </c>
      <c r="E22" t="n">
        <v>0.95</v>
      </c>
      <c r="F22" t="n">
        <v>1</v>
      </c>
      <c r="G22" t="inlineStr">
        <is>
          <t>exceed the total fees paid or payable by Client to Supplier in the twelve (12) months</t>
        </is>
      </c>
      <c r="H22" t="inlineStr"/>
      <c r="I22" t="inlineStr"/>
      <c r="O22">
        <f>IF(J22&lt;&gt;"",J22,D22)</f>
        <v/>
      </c>
    </row>
    <row r="23">
      <c r="A23" t="inlineStr">
        <is>
          <t>CTR-002</t>
        </is>
      </c>
      <c r="B23" t="inlineStr">
        <is>
          <t>CTR-002_MSA_Summit_Logistics.pdf</t>
        </is>
      </c>
      <c r="C23" t="inlineStr">
        <is>
          <t>TerminationClause</t>
        </is>
      </c>
      <c r="D23" t="inlineStr">
        <is>
          <t>termination for convenience upon 30 days prior written notice</t>
        </is>
      </c>
      <c r="E23" t="n">
        <v>0.95</v>
      </c>
      <c r="F23" t="n">
        <v>1</v>
      </c>
      <c r="G23" t="inlineStr">
        <is>
          <t>terminate this Agreement for any reason upon thirty (30) days prior written notice</t>
        </is>
      </c>
      <c r="H23" t="inlineStr"/>
      <c r="I23" t="inlineStr"/>
      <c r="O23">
        <f>IF(J23&lt;&gt;"",J23,D23)</f>
        <v/>
      </c>
    </row>
    <row r="24">
      <c r="A24" t="inlineStr">
        <is>
          <t>CTR-003</t>
        </is>
      </c>
      <c r="B24" t="inlineStr">
        <is>
          <t>CTR-003_MSA_Meridian_Tech.pdf</t>
        </is>
      </c>
      <c r="C24" t="inlineStr">
        <is>
          <t>Supplier</t>
        </is>
      </c>
      <c r="D24" t="inlineStr">
        <is>
          <t>Meridian Technology Solutions</t>
        </is>
      </c>
      <c r="E24" t="n">
        <v>1</v>
      </c>
      <c r="F24" t="n">
        <v>1</v>
      </c>
      <c r="G24" t="inlineStr">
        <is>
          <t>Meridian Technology Solutions ("Supplier")</t>
        </is>
      </c>
      <c r="H24" t="inlineStr"/>
      <c r="I24" t="inlineStr"/>
      <c r="O24">
        <f>IF(J24&lt;&gt;"",J24,D24)</f>
        <v/>
      </c>
    </row>
    <row r="25">
      <c r="A25" t="inlineStr">
        <is>
          <t>CTR-003</t>
        </is>
      </c>
      <c r="B25" t="inlineStr">
        <is>
          <t>CTR-003_MSA_Meridian_Tech.pdf</t>
        </is>
      </c>
      <c r="C25" t="inlineStr">
        <is>
          <t>ContractType</t>
        </is>
      </c>
      <c r="D25" t="inlineStr">
        <is>
          <t>Master Service Agreement</t>
        </is>
      </c>
      <c r="E25" t="n">
        <v>1</v>
      </c>
      <c r="F25" t="n">
        <v>1</v>
      </c>
      <c r="G25" t="inlineStr">
        <is>
          <t>MASTER SERVICE AGREEMENT</t>
        </is>
      </c>
      <c r="H25" t="inlineStr"/>
      <c r="I25" t="inlineStr"/>
      <c r="O25">
        <f>IF(J25&lt;&gt;"",J25,D25)</f>
        <v/>
      </c>
    </row>
    <row r="26">
      <c r="A26" t="inlineStr">
        <is>
          <t>CTR-003</t>
        </is>
      </c>
      <c r="B26" t="inlineStr">
        <is>
          <t>CTR-003_MSA_Meridian_Tech.pdf</t>
        </is>
      </c>
      <c r="C26" t="inlineStr">
        <is>
          <t>EffectiveDate</t>
        </is>
      </c>
      <c r="D26" t="inlineStr">
        <is>
          <t>2024-03-01</t>
        </is>
      </c>
      <c r="E26" t="n">
        <v>1</v>
      </c>
      <c r="F26" t="n">
        <v>1</v>
      </c>
      <c r="G26" t="inlineStr">
        <is>
          <t>entered into as of 2024-03-01 ("Effective Date")</t>
        </is>
      </c>
      <c r="H26" t="inlineStr"/>
      <c r="I26" t="inlineStr"/>
      <c r="O26">
        <f>IF(J26&lt;&gt;"",J26,D26)</f>
        <v/>
      </c>
    </row>
    <row r="27">
      <c r="A27" t="inlineStr">
        <is>
          <t>CTR-003</t>
        </is>
      </c>
      <c r="B27" t="inlineStr">
        <is>
          <t>CTR-003_MSA_Meridian_Tech.pdf</t>
        </is>
      </c>
      <c r="C27" t="inlineStr">
        <is>
          <t>ExpirationDate</t>
        </is>
      </c>
      <c r="D27" t="inlineStr">
        <is>
          <t>2027-02-28</t>
        </is>
      </c>
      <c r="E27" t="n">
        <v>1</v>
      </c>
      <c r="F27" t="n">
        <v>1</v>
      </c>
      <c r="G27" t="inlineStr">
        <is>
          <t>Expiration Date: 2027-02-28</t>
        </is>
      </c>
      <c r="H27" t="inlineStr"/>
      <c r="I27" t="inlineStr"/>
      <c r="O27">
        <f>IF(J27&lt;&gt;"",J27,D27)</f>
        <v/>
      </c>
    </row>
    <row r="28">
      <c r="A28" t="inlineStr">
        <is>
          <t>CTR-003</t>
        </is>
      </c>
      <c r="B28" t="inlineStr">
        <is>
          <t>CTR-003_MSA_Meridian_Tech.pdf</t>
        </is>
      </c>
      <c r="C28" t="inlineStr">
        <is>
          <t>ContractValue</t>
        </is>
      </c>
      <c r="D28" t="inlineStr">
        <is>
          <t>$4,200,000</t>
        </is>
      </c>
      <c r="E28" t="n">
        <v>1</v>
      </c>
      <c r="F28" t="n">
        <v>1</v>
      </c>
      <c r="G28" t="inlineStr">
        <is>
          <t>Total Contract Value: $4,200,000</t>
        </is>
      </c>
      <c r="H28" t="inlineStr"/>
      <c r="I28" t="inlineStr"/>
      <c r="O28">
        <f>IF(J28&lt;&gt;"",J28,D28)</f>
        <v/>
      </c>
    </row>
    <row r="29">
      <c r="A29" t="inlineStr">
        <is>
          <t>CTR-003</t>
        </is>
      </c>
      <c r="B29" t="inlineStr">
        <is>
          <t>CTR-003_MSA_Meridian_Tech.pdf</t>
        </is>
      </c>
      <c r="C29" t="inlineStr">
        <is>
          <t>BusinessEntity</t>
        </is>
      </c>
      <c r="D29" t="inlineStr">
        <is>
          <t>Braden Corp - IT Division</t>
        </is>
      </c>
      <c r="E29" t="n">
        <v>1</v>
      </c>
      <c r="F29" t="n">
        <v>1</v>
      </c>
      <c r="G29" t="inlineStr">
        <is>
          <t>Braden Corp - IT Division ("Client")</t>
        </is>
      </c>
      <c r="H29" t="inlineStr"/>
      <c r="I29" t="inlineStr"/>
      <c r="O29">
        <f>IF(J29&lt;&gt;"",J29,D29)</f>
        <v/>
      </c>
    </row>
    <row r="30">
      <c r="A30" t="inlineStr">
        <is>
          <t>CTR-003</t>
        </is>
      </c>
      <c r="B30" t="inlineStr">
        <is>
          <t>CTR-003_MSA_Meridian_Tech.pdf</t>
        </is>
      </c>
      <c r="C30" t="inlineStr">
        <is>
          <t>GoverningLaw</t>
        </is>
      </c>
      <c r="D30" t="inlineStr">
        <is>
          <t>California</t>
        </is>
      </c>
      <c r="E30" t="n">
        <v>1</v>
      </c>
      <c r="F30" t="n">
        <v>1</v>
      </c>
      <c r="G30" t="inlineStr">
        <is>
          <t>laws of the State of California</t>
        </is>
      </c>
      <c r="H30" t="inlineStr"/>
      <c r="I30" t="inlineStr"/>
      <c r="O30">
        <f>IF(J30&lt;&gt;"",J30,D30)</f>
        <v/>
      </c>
    </row>
    <row r="31">
      <c r="A31" t="inlineStr">
        <is>
          <t>CTR-003</t>
        </is>
      </c>
      <c r="B31" t="inlineStr">
        <is>
          <t>CTR-003_MSA_Meridian_Tech.pdf</t>
        </is>
      </c>
      <c r="C31" t="inlineStr">
        <is>
          <t>PaymentTerms</t>
        </is>
      </c>
      <c r="D31" t="inlineStr">
        <is>
          <t>Net 30</t>
        </is>
      </c>
      <c r="E31" t="n">
        <v>1</v>
      </c>
      <c r="F31" t="n">
        <v>1</v>
      </c>
      <c r="G31" t="inlineStr">
        <is>
          <t>Payment Terms: Net 30</t>
        </is>
      </c>
      <c r="H31" t="inlineStr"/>
      <c r="I31" t="inlineStr"/>
      <c r="O31">
        <f>IF(J31&lt;&gt;"",J31,D31)</f>
        <v/>
      </c>
    </row>
    <row r="32">
      <c r="A32" t="inlineStr">
        <is>
          <t>CTR-003</t>
        </is>
      </c>
      <c r="B32" t="inlineStr">
        <is>
          <t>CTR-003_MSA_Meridian_Tech.pdf</t>
        </is>
      </c>
      <c r="C32" t="inlineStr">
        <is>
          <t>AutoRenewal</t>
        </is>
      </c>
      <c r="E32" t="n">
        <v>0</v>
      </c>
      <c r="H32" t="inlineStr"/>
      <c r="I32" t="inlineStr"/>
      <c r="O32">
        <f>IF(J32&lt;&gt;"",J32,D32)</f>
        <v/>
      </c>
    </row>
    <row r="33">
      <c r="A33" t="inlineStr">
        <is>
          <t>CTR-003</t>
        </is>
      </c>
      <c r="B33" t="inlineStr">
        <is>
          <t>CTR-003_MSA_Meridian_Tech.pdf</t>
        </is>
      </c>
      <c r="C33" t="inlineStr">
        <is>
          <t>LiabilityCap</t>
        </is>
      </c>
      <c r="D33" t="inlineStr">
        <is>
          <t>Total fees paid or payable in the 12 months preceding the claim</t>
        </is>
      </c>
      <c r="E33" t="n">
        <v>0.95</v>
      </c>
      <c r="F33" t="n">
        <v>1</v>
      </c>
      <c r="G33" t="inlineStr">
        <is>
          <t>exceed the total fees paid or payable by Client to Supplier in the twelve (12) months</t>
        </is>
      </c>
      <c r="H33" t="inlineStr"/>
      <c r="I33" t="inlineStr"/>
      <c r="O33">
        <f>IF(J33&lt;&gt;"",J33,D33)</f>
        <v/>
      </c>
    </row>
    <row r="34">
      <c r="A34" t="inlineStr">
        <is>
          <t>CTR-003</t>
        </is>
      </c>
      <c r="B34" t="inlineStr">
        <is>
          <t>CTR-003_MSA_Meridian_Tech.pdf</t>
        </is>
      </c>
      <c r="C34" t="inlineStr">
        <is>
          <t>TerminationClause</t>
        </is>
      </c>
      <c r="D34" t="inlineStr">
        <is>
          <t>30 days prior written notice for convenience</t>
        </is>
      </c>
      <c r="E34" t="n">
        <v>0.95</v>
      </c>
      <c r="F34" t="n">
        <v>1</v>
      </c>
      <c r="G34" t="inlineStr">
        <is>
          <t>terminate this Agreement for any reason upon thirty (30) days prior written notice</t>
        </is>
      </c>
      <c r="H34" t="inlineStr"/>
      <c r="I34" t="inlineStr"/>
      <c r="O34">
        <f>IF(J34&lt;&gt;"",J34,D34)</f>
        <v/>
      </c>
    </row>
    <row r="35">
      <c r="A35" t="inlineStr">
        <is>
          <t>CTR-004</t>
        </is>
      </c>
      <c r="B35" t="inlineStr">
        <is>
          <t>CTR-004_MSA_Pinnacle_Consulting.pdf</t>
        </is>
      </c>
      <c r="C35" t="inlineStr">
        <is>
          <t>Supplier</t>
        </is>
      </c>
      <c r="D35" t="inlineStr">
        <is>
          <t>Pinnacle Consulting Group</t>
        </is>
      </c>
      <c r="E35" t="n">
        <v>1</v>
      </c>
      <c r="F35" t="n">
        <v>1</v>
      </c>
      <c r="G35" t="inlineStr">
        <is>
          <t>Pinnacle Consulting Group ("Supplier")</t>
        </is>
      </c>
      <c r="H35" t="inlineStr"/>
      <c r="I35" t="inlineStr"/>
      <c r="O35">
        <f>IF(J35&lt;&gt;"",J35,D35)</f>
        <v/>
      </c>
    </row>
    <row r="36">
      <c r="A36" t="inlineStr">
        <is>
          <t>CTR-004</t>
        </is>
      </c>
      <c r="B36" t="inlineStr">
        <is>
          <t>CTR-004_MSA_Pinnacle_Consulting.pdf</t>
        </is>
      </c>
      <c r="C36" t="inlineStr">
        <is>
          <t>ContractType</t>
        </is>
      </c>
      <c r="D36" t="inlineStr">
        <is>
          <t>Master Service Agreement</t>
        </is>
      </c>
      <c r="E36" t="n">
        <v>1</v>
      </c>
      <c r="F36" t="n">
        <v>1</v>
      </c>
      <c r="G36" t="inlineStr">
        <is>
          <t>MASTER SERVICE AGREEMENT</t>
        </is>
      </c>
      <c r="H36" t="inlineStr"/>
      <c r="I36" t="inlineStr"/>
      <c r="O36">
        <f>IF(J36&lt;&gt;"",J36,D36)</f>
        <v/>
      </c>
    </row>
    <row r="37">
      <c r="A37" t="inlineStr">
        <is>
          <t>CTR-004</t>
        </is>
      </c>
      <c r="B37" t="inlineStr">
        <is>
          <t>CTR-004_MSA_Pinnacle_Consulting.pdf</t>
        </is>
      </c>
      <c r="C37" t="inlineStr">
        <is>
          <t>EffectiveDate</t>
        </is>
      </c>
      <c r="D37" t="inlineStr">
        <is>
          <t>2023-09-01</t>
        </is>
      </c>
      <c r="E37" t="n">
        <v>1</v>
      </c>
      <c r="F37" t="n">
        <v>1</v>
      </c>
      <c r="G37" t="inlineStr">
        <is>
          <t>entered into as of 2023-09-01 ("Effective Date")</t>
        </is>
      </c>
      <c r="H37" t="inlineStr"/>
      <c r="I37" t="inlineStr"/>
      <c r="O37">
        <f>IF(J37&lt;&gt;"",J37,D37)</f>
        <v/>
      </c>
    </row>
    <row r="38">
      <c r="A38" t="inlineStr">
        <is>
          <t>CTR-004</t>
        </is>
      </c>
      <c r="B38" t="inlineStr">
        <is>
          <t>CTR-004_MSA_Pinnacle_Consulting.pdf</t>
        </is>
      </c>
      <c r="C38" t="inlineStr">
        <is>
          <t>ExpirationDate</t>
        </is>
      </c>
      <c r="D38" t="inlineStr">
        <is>
          <t>2026-08-31</t>
        </is>
      </c>
      <c r="E38" t="n">
        <v>1</v>
      </c>
      <c r="F38" t="n">
        <v>1</v>
      </c>
      <c r="G38" t="inlineStr">
        <is>
          <t>Expiration Date: 2026-08-31</t>
        </is>
      </c>
      <c r="H38" t="inlineStr"/>
      <c r="I38" t="inlineStr"/>
      <c r="O38">
        <f>IF(J38&lt;&gt;"",J38,D38)</f>
        <v/>
      </c>
    </row>
    <row r="39">
      <c r="A39" t="inlineStr">
        <is>
          <t>CTR-004</t>
        </is>
      </c>
      <c r="B39" t="inlineStr">
        <is>
          <t>CTR-004_MSA_Pinnacle_Consulting.pdf</t>
        </is>
      </c>
      <c r="C39" t="inlineStr">
        <is>
          <t>ContractValue</t>
        </is>
      </c>
      <c r="D39" t="inlineStr">
        <is>
          <t>$750,000</t>
        </is>
      </c>
      <c r="E39" t="n">
        <v>1</v>
      </c>
      <c r="F39" t="n">
        <v>1</v>
      </c>
      <c r="G39" t="inlineStr">
        <is>
          <t>Total Contract Value: $750,000</t>
        </is>
      </c>
      <c r="H39" t="inlineStr"/>
      <c r="I39" t="inlineStr"/>
      <c r="O39">
        <f>IF(J39&lt;&gt;"",J39,D39)</f>
        <v/>
      </c>
    </row>
    <row r="40">
      <c r="A40" t="inlineStr">
        <is>
          <t>CTR-004</t>
        </is>
      </c>
      <c r="B40" t="inlineStr">
        <is>
          <t>CTR-004_MSA_Pinnacle_Consulting.pdf</t>
        </is>
      </c>
      <c r="C40" t="inlineStr">
        <is>
          <t>BusinessEntity</t>
        </is>
      </c>
      <c r="D40" t="inlineStr">
        <is>
          <t>Braden Corp - Finance</t>
        </is>
      </c>
      <c r="E40" t="n">
        <v>1</v>
      </c>
      <c r="F40" t="n">
        <v>1</v>
      </c>
      <c r="G40" t="inlineStr">
        <is>
          <t>Braden Corp - Finance ("Client")</t>
        </is>
      </c>
      <c r="H40" t="inlineStr"/>
      <c r="I40" t="inlineStr"/>
      <c r="O40">
        <f>IF(J40&lt;&gt;"",J40,D40)</f>
        <v/>
      </c>
    </row>
    <row r="41">
      <c r="A41" t="inlineStr">
        <is>
          <t>CTR-004</t>
        </is>
      </c>
      <c r="B41" t="inlineStr">
        <is>
          <t>CTR-004_MSA_Pinnacle_Consulting.pdf</t>
        </is>
      </c>
      <c r="C41" t="inlineStr">
        <is>
          <t>GoverningLaw</t>
        </is>
      </c>
      <c r="D41" t="inlineStr">
        <is>
          <t>State of New York</t>
        </is>
      </c>
      <c r="E41" t="n">
        <v>1</v>
      </c>
      <c r="F41" t="n">
        <v>1</v>
      </c>
      <c r="G41" t="inlineStr">
        <is>
          <t>laws of the State of New York</t>
        </is>
      </c>
      <c r="H41" t="inlineStr"/>
      <c r="I41" t="inlineStr"/>
      <c r="O41">
        <f>IF(J41&lt;&gt;"",J41,D41)</f>
        <v/>
      </c>
    </row>
    <row r="42">
      <c r="A42" t="inlineStr">
        <is>
          <t>CTR-004</t>
        </is>
      </c>
      <c r="B42" t="inlineStr">
        <is>
          <t>CTR-004_MSA_Pinnacle_Consulting.pdf</t>
        </is>
      </c>
      <c r="C42" t="inlineStr">
        <is>
          <t>PaymentTerms</t>
        </is>
      </c>
      <c r="D42" t="inlineStr">
        <is>
          <t>Net 60</t>
        </is>
      </c>
      <c r="E42" t="n">
        <v>1</v>
      </c>
      <c r="F42" t="n">
        <v>1</v>
      </c>
      <c r="G42" t="inlineStr">
        <is>
          <t>Payment Terms: Net 60</t>
        </is>
      </c>
      <c r="H42" t="inlineStr"/>
      <c r="I42" t="inlineStr"/>
      <c r="O42">
        <f>IF(J42&lt;&gt;"",J42,D42)</f>
        <v/>
      </c>
    </row>
    <row r="43">
      <c r="A43" t="inlineStr">
        <is>
          <t>CTR-004</t>
        </is>
      </c>
      <c r="B43" t="inlineStr">
        <is>
          <t>CTR-004_MSA_Pinnacle_Consulting.pdf</t>
        </is>
      </c>
      <c r="C43" t="inlineStr">
        <is>
          <t>AutoRenewal</t>
        </is>
      </c>
      <c r="E43" t="n">
        <v>0</v>
      </c>
      <c r="H43" t="inlineStr"/>
      <c r="I43" t="inlineStr"/>
      <c r="O43">
        <f>IF(J43&lt;&gt;"",J43,D43)</f>
        <v/>
      </c>
    </row>
    <row r="44">
      <c r="A44" t="inlineStr">
        <is>
          <t>CTR-004</t>
        </is>
      </c>
      <c r="B44" t="inlineStr">
        <is>
          <t>CTR-004_MSA_Pinnacle_Consulting.pdf</t>
        </is>
      </c>
      <c r="C44" t="inlineStr">
        <is>
          <t>LiabilityCap</t>
        </is>
      </c>
      <c r="D44" t="inlineStr">
        <is>
          <t>Total fees paid or payable by Client to Supplier in the twelve (12) months preceding the claim</t>
        </is>
      </c>
      <c r="E44" t="n">
        <v>0.95</v>
      </c>
      <c r="F44" t="n">
        <v>1</v>
      </c>
      <c r="G44" t="inlineStr">
        <is>
          <t>exceed the total fees paid or payable by Client to Supplier in the twelve (12) months</t>
        </is>
      </c>
      <c r="H44" t="inlineStr"/>
      <c r="I44" t="inlineStr"/>
      <c r="O44">
        <f>IF(J44&lt;&gt;"",J44,D44)</f>
        <v/>
      </c>
    </row>
    <row r="45">
      <c r="A45" t="inlineStr">
        <is>
          <t>CTR-004</t>
        </is>
      </c>
      <c r="B45" t="inlineStr">
        <is>
          <t>CTR-004_MSA_Pinnacle_Consulting.pdf</t>
        </is>
      </c>
      <c r="C45" t="inlineStr">
        <is>
          <t>TerminationClause</t>
        </is>
      </c>
      <c r="D45" t="inlineStr">
        <is>
          <t>Thirty (30) days prior written notice for any reason</t>
        </is>
      </c>
      <c r="E45" t="n">
        <v>0.95</v>
      </c>
      <c r="F45" t="n">
        <v>1</v>
      </c>
      <c r="G45" t="inlineStr">
        <is>
          <t>terminate this Agreement for any reason upon thirty (30) days prior written notice</t>
        </is>
      </c>
      <c r="H45" t="inlineStr"/>
      <c r="I45" t="inlineStr"/>
      <c r="O45">
        <f>IF(J45&lt;&gt;"",J45,D45)</f>
        <v/>
      </c>
    </row>
    <row r="46">
      <c r="A46" t="inlineStr">
        <is>
          <t>CTR-005</t>
        </is>
      </c>
      <c r="B46" t="inlineStr">
        <is>
          <t>CTR-005_SOW_Vertex_Engineering.pdf</t>
        </is>
      </c>
      <c r="C46" t="inlineStr">
        <is>
          <t>Supplier</t>
        </is>
      </c>
      <c r="D46" t="inlineStr">
        <is>
          <t>Vertex Engineering Corp</t>
        </is>
      </c>
      <c r="E46" t="n">
        <v>0.95</v>
      </c>
      <c r="F46" t="n">
        <v>1</v>
      </c>
      <c r="G46" t="inlineStr">
        <is>
          <t>Vertex Engineering Corp ("Supplier")</t>
        </is>
      </c>
      <c r="H46" t="inlineStr"/>
      <c r="I46" t="inlineStr"/>
      <c r="O46">
        <f>IF(J46&lt;&gt;"",J46,D46)</f>
        <v/>
      </c>
    </row>
    <row r="47">
      <c r="A47" t="inlineStr">
        <is>
          <t>CTR-005</t>
        </is>
      </c>
      <c r="B47" t="inlineStr">
        <is>
          <t>CTR-005_SOW_Vertex_Engineering.pdf</t>
        </is>
      </c>
      <c r="C47" t="inlineStr">
        <is>
          <t>ContractType</t>
        </is>
      </c>
      <c r="D47" t="inlineStr">
        <is>
          <t>Statement of Work</t>
        </is>
      </c>
      <c r="E47" t="n">
        <v>0.95</v>
      </c>
      <c r="F47" t="n">
        <v>1</v>
      </c>
      <c r="G47" t="inlineStr">
        <is>
          <t>STATEMENT OF WORK</t>
        </is>
      </c>
      <c r="H47" t="inlineStr"/>
      <c r="I47" t="inlineStr"/>
      <c r="O47">
        <f>IF(J47&lt;&gt;"",J47,D47)</f>
        <v/>
      </c>
    </row>
    <row r="48">
      <c r="A48" t="inlineStr">
        <is>
          <t>CTR-005</t>
        </is>
      </c>
      <c r="B48" t="inlineStr">
        <is>
          <t>CTR-005_SOW_Vertex_Engineering.pdf</t>
        </is>
      </c>
      <c r="C48" t="inlineStr">
        <is>
          <t>EffectiveDate</t>
        </is>
      </c>
      <c r="D48" t="inlineStr">
        <is>
          <t>2024-02-01</t>
        </is>
      </c>
      <c r="E48" t="n">
        <v>0.95</v>
      </c>
      <c r="F48" t="n">
        <v>1</v>
      </c>
      <c r="G48" t="inlineStr">
        <is>
          <t>entered into as of 2024-02-01 ("Effective Date")</t>
        </is>
      </c>
      <c r="H48" t="inlineStr"/>
      <c r="I48" t="inlineStr"/>
      <c r="O48">
        <f>IF(J48&lt;&gt;"",J48,D48)</f>
        <v/>
      </c>
    </row>
    <row r="49">
      <c r="A49" t="inlineStr">
        <is>
          <t>CTR-005</t>
        </is>
      </c>
      <c r="B49" t="inlineStr">
        <is>
          <t>CTR-005_SOW_Vertex_Engineering.pdf</t>
        </is>
      </c>
      <c r="C49" t="inlineStr">
        <is>
          <t>ExpirationDate</t>
        </is>
      </c>
      <c r="D49" t="inlineStr">
        <is>
          <t>2025-01-31</t>
        </is>
      </c>
      <c r="E49" t="n">
        <v>0.95</v>
      </c>
      <c r="F49" t="n">
        <v>1</v>
      </c>
      <c r="G49" t="inlineStr">
        <is>
          <t>Expiration Date: 2025-01-31</t>
        </is>
      </c>
      <c r="H49" t="inlineStr">
        <is>
          <t>High</t>
        </is>
      </c>
      <c r="I49" t="inlineStr">
        <is>
          <t>Contract appears expired -- verify active status before use</t>
        </is>
      </c>
      <c r="O49">
        <f>IF(J49&lt;&gt;"",J49,D49)</f>
        <v/>
      </c>
    </row>
    <row r="50">
      <c r="A50" t="inlineStr">
        <is>
          <t>CTR-005</t>
        </is>
      </c>
      <c r="B50" t="inlineStr">
        <is>
          <t>CTR-005_SOW_Vertex_Engineering.pdf</t>
        </is>
      </c>
      <c r="C50" t="inlineStr">
        <is>
          <t>ContractValue</t>
        </is>
      </c>
      <c r="D50" t="inlineStr">
        <is>
          <t>$320,000</t>
        </is>
      </c>
      <c r="E50" t="n">
        <v>0.95</v>
      </c>
      <c r="F50" t="n">
        <v>1</v>
      </c>
      <c r="G50" t="inlineStr">
        <is>
          <t>Total Contract Value: $320,000</t>
        </is>
      </c>
      <c r="H50" t="inlineStr"/>
      <c r="I50" t="inlineStr"/>
      <c r="O50">
        <f>IF(J50&lt;&gt;"",J50,D50)</f>
        <v/>
      </c>
    </row>
    <row r="51">
      <c r="A51" t="inlineStr">
        <is>
          <t>CTR-005</t>
        </is>
      </c>
      <c r="B51" t="inlineStr">
        <is>
          <t>CTR-005_SOW_Vertex_Engineering.pdf</t>
        </is>
      </c>
      <c r="C51" t="inlineStr">
        <is>
          <t>BusinessEntity</t>
        </is>
      </c>
      <c r="D51" t="inlineStr">
        <is>
          <t>Braden Corp - Operations</t>
        </is>
      </c>
      <c r="E51" t="n">
        <v>0.95</v>
      </c>
      <c r="F51" t="n">
        <v>1</v>
      </c>
      <c r="G51" t="inlineStr">
        <is>
          <t>Braden Corp - Operations ("Client")</t>
        </is>
      </c>
      <c r="H51" t="inlineStr"/>
      <c r="I51" t="inlineStr"/>
      <c r="O51">
        <f>IF(J51&lt;&gt;"",J51,D51)</f>
        <v/>
      </c>
    </row>
    <row r="52">
      <c r="A52" t="inlineStr">
        <is>
          <t>CTR-005</t>
        </is>
      </c>
      <c r="B52" t="inlineStr">
        <is>
          <t>CTR-005_SOW_Vertex_Engineering.pdf</t>
        </is>
      </c>
      <c r="C52" t="inlineStr">
        <is>
          <t>GoverningLaw</t>
        </is>
      </c>
      <c r="D52" t="inlineStr">
        <is>
          <t>State of Ohio</t>
        </is>
      </c>
      <c r="E52" t="n">
        <v>0.95</v>
      </c>
      <c r="F52" t="n">
        <v>1</v>
      </c>
      <c r="G52" t="inlineStr">
        <is>
          <t>in accordance with the laws of the State of Ohio</t>
        </is>
      </c>
      <c r="H52" t="inlineStr"/>
      <c r="I52" t="inlineStr"/>
      <c r="O52">
        <f>IF(J52&lt;&gt;"",J52,D52)</f>
        <v/>
      </c>
    </row>
    <row r="53">
      <c r="A53" t="inlineStr">
        <is>
          <t>CTR-005</t>
        </is>
      </c>
      <c r="B53" t="inlineStr">
        <is>
          <t>CTR-005_SOW_Vertex_Engineering.pdf</t>
        </is>
      </c>
      <c r="C53" t="inlineStr">
        <is>
          <t>PaymentTerms</t>
        </is>
      </c>
      <c r="D53" t="inlineStr">
        <is>
          <t>Net 30</t>
        </is>
      </c>
      <c r="E53" t="n">
        <v>0.95</v>
      </c>
      <c r="F53" t="n">
        <v>1</v>
      </c>
      <c r="G53" t="inlineStr">
        <is>
          <t>Payment Terms: Net 30</t>
        </is>
      </c>
      <c r="H53" t="inlineStr"/>
      <c r="I53" t="inlineStr"/>
      <c r="O53">
        <f>IF(J53&lt;&gt;"",J53,D53)</f>
        <v/>
      </c>
    </row>
    <row r="54">
      <c r="A54" t="inlineStr">
        <is>
          <t>CTR-005</t>
        </is>
      </c>
      <c r="B54" t="inlineStr">
        <is>
          <t>CTR-005_SOW_Vertex_Engineering.pdf</t>
        </is>
      </c>
      <c r="C54" t="inlineStr">
        <is>
          <t>AutoRenewal</t>
        </is>
      </c>
      <c r="E54" t="n">
        <v>0</v>
      </c>
      <c r="H54" t="inlineStr"/>
      <c r="I54" t="inlineStr"/>
      <c r="O54">
        <f>IF(J54&lt;&gt;"",J54,D54)</f>
        <v/>
      </c>
    </row>
    <row r="55">
      <c r="A55" t="inlineStr">
        <is>
          <t>CTR-005</t>
        </is>
      </c>
      <c r="B55" t="inlineStr">
        <is>
          <t>CTR-005_SOW_Vertex_Engineering.pdf</t>
        </is>
      </c>
      <c r="C55" t="inlineStr">
        <is>
          <t>LiabilityCap</t>
        </is>
      </c>
      <c r="E55" t="n">
        <v>0</v>
      </c>
      <c r="H55" t="inlineStr">
        <is>
          <t>High</t>
        </is>
      </c>
      <c r="I55" t="inlineStr">
        <is>
          <t>No liability cap clause found -- legal review recommended</t>
        </is>
      </c>
      <c r="O55">
        <f>IF(J55&lt;&gt;"",J55,D55)</f>
        <v/>
      </c>
    </row>
    <row r="56">
      <c r="A56" t="inlineStr">
        <is>
          <t>CTR-005</t>
        </is>
      </c>
      <c r="B56" t="inlineStr">
        <is>
          <t>CTR-005_SOW_Vertex_Engineering.pdf</t>
        </is>
      </c>
      <c r="C56" t="inlineStr">
        <is>
          <t>TerminationClause</t>
        </is>
      </c>
      <c r="D56" t="inlineStr">
        <is>
          <t>30 days prior written notice for convenience</t>
        </is>
      </c>
      <c r="E56" t="n">
        <v>0.95</v>
      </c>
      <c r="F56" t="n">
        <v>1</v>
      </c>
      <c r="G56" t="inlineStr">
        <is>
          <t>terminate this Agreement for any reason upon thirty (30) days prior written notice</t>
        </is>
      </c>
      <c r="H56" t="inlineStr"/>
      <c r="I56" t="inlineStr"/>
      <c r="O56">
        <f>IF(J56&lt;&gt;"",J56,D56)</f>
        <v/>
      </c>
    </row>
    <row r="57">
      <c r="A57" t="inlineStr">
        <is>
          <t>CTR-006</t>
        </is>
      </c>
      <c r="B57" t="inlineStr">
        <is>
          <t>CTR-006_SOW_BlueStar_Services.pdf</t>
        </is>
      </c>
      <c r="C57" t="inlineStr">
        <is>
          <t>Supplier</t>
        </is>
      </c>
      <c r="D57" t="inlineStr">
        <is>
          <t>BlueStar Professional Services</t>
        </is>
      </c>
      <c r="E57" t="n">
        <v>1</v>
      </c>
      <c r="F57" t="n">
        <v>1</v>
      </c>
      <c r="G57" t="inlineStr">
        <is>
          <t>BlueStar Professional Services ("Supplier")</t>
        </is>
      </c>
      <c r="H57" t="inlineStr"/>
      <c r="I57" t="inlineStr"/>
      <c r="O57">
        <f>IF(J57&lt;&gt;"",J57,D57)</f>
        <v/>
      </c>
    </row>
    <row r="58">
      <c r="A58" t="inlineStr">
        <is>
          <t>CTR-006</t>
        </is>
      </c>
      <c r="B58" t="inlineStr">
        <is>
          <t>CTR-006_SOW_BlueStar_Services.pdf</t>
        </is>
      </c>
      <c r="C58" t="inlineStr">
        <is>
          <t>ContractType</t>
        </is>
      </c>
      <c r="D58" t="inlineStr">
        <is>
          <t>Statement of Work</t>
        </is>
      </c>
      <c r="E58" t="n">
        <v>1</v>
      </c>
      <c r="F58" t="n">
        <v>1</v>
      </c>
      <c r="G58" t="inlineStr">
        <is>
          <t>This Statement of Work ("Agreement")</t>
        </is>
      </c>
      <c r="H58" t="inlineStr"/>
      <c r="I58" t="inlineStr"/>
      <c r="O58">
        <f>IF(J58&lt;&gt;"",J58,D58)</f>
        <v/>
      </c>
    </row>
    <row r="59">
      <c r="A59" t="inlineStr">
        <is>
          <t>CTR-006</t>
        </is>
      </c>
      <c r="B59" t="inlineStr">
        <is>
          <t>CTR-006_SOW_BlueStar_Services.pdf</t>
        </is>
      </c>
      <c r="C59" t="inlineStr">
        <is>
          <t>EffectiveDate</t>
        </is>
      </c>
      <c r="D59" t="inlineStr">
        <is>
          <t>2024-04-15</t>
        </is>
      </c>
      <c r="E59" t="n">
        <v>1</v>
      </c>
      <c r="F59" t="n">
        <v>1</v>
      </c>
      <c r="G59" t="inlineStr">
        <is>
          <t>entered into as of 2024-04-15 ("Effective Date")</t>
        </is>
      </c>
      <c r="H59" t="inlineStr"/>
      <c r="I59" t="inlineStr"/>
      <c r="O59">
        <f>IF(J59&lt;&gt;"",J59,D59)</f>
        <v/>
      </c>
    </row>
    <row r="60">
      <c r="A60" t="inlineStr">
        <is>
          <t>CTR-006</t>
        </is>
      </c>
      <c r="B60" t="inlineStr">
        <is>
          <t>CTR-006_SOW_BlueStar_Services.pdf</t>
        </is>
      </c>
      <c r="C60" t="inlineStr">
        <is>
          <t>ExpirationDate</t>
        </is>
      </c>
      <c r="D60" t="inlineStr">
        <is>
          <t>2025-04-14</t>
        </is>
      </c>
      <c r="E60" t="n">
        <v>1</v>
      </c>
      <c r="F60" t="n">
        <v>1</v>
      </c>
      <c r="G60" t="inlineStr">
        <is>
          <t>Expiration Date: 2025-04-14</t>
        </is>
      </c>
      <c r="H60" t="inlineStr">
        <is>
          <t>High</t>
        </is>
      </c>
      <c r="I60" t="inlineStr">
        <is>
          <t>Contract appears expired -- verify active status before use</t>
        </is>
      </c>
      <c r="O60">
        <f>IF(J60&lt;&gt;"",J60,D60)</f>
        <v/>
      </c>
    </row>
    <row r="61">
      <c r="A61" t="inlineStr">
        <is>
          <t>CTR-006</t>
        </is>
      </c>
      <c r="B61" t="inlineStr">
        <is>
          <t>CTR-006_SOW_BlueStar_Services.pdf</t>
        </is>
      </c>
      <c r="C61" t="inlineStr">
        <is>
          <t>ContractValue</t>
        </is>
      </c>
      <c r="D61" t="inlineStr">
        <is>
          <t>$185,000</t>
        </is>
      </c>
      <c r="E61" t="n">
        <v>1</v>
      </c>
      <c r="F61" t="n">
        <v>1</v>
      </c>
      <c r="G61" t="inlineStr">
        <is>
          <t>Total Contract Value: $185,000</t>
        </is>
      </c>
      <c r="H61" t="inlineStr"/>
      <c r="I61" t="inlineStr"/>
      <c r="O61">
        <f>IF(J61&lt;&gt;"",J61,D61)</f>
        <v/>
      </c>
    </row>
    <row r="62">
      <c r="A62" t="inlineStr">
        <is>
          <t>CTR-006</t>
        </is>
      </c>
      <c r="B62" t="inlineStr">
        <is>
          <t>CTR-006_SOW_BlueStar_Services.pdf</t>
        </is>
      </c>
      <c r="C62" t="inlineStr">
        <is>
          <t>BusinessEntity</t>
        </is>
      </c>
      <c r="D62" t="inlineStr">
        <is>
          <t>Braden Corp - HR</t>
        </is>
      </c>
      <c r="E62" t="n">
        <v>1</v>
      </c>
      <c r="F62" t="n">
        <v>1</v>
      </c>
      <c r="G62" t="inlineStr">
        <is>
          <t>Braden Corp - HR ("Client")</t>
        </is>
      </c>
      <c r="H62" t="inlineStr"/>
      <c r="I62" t="inlineStr"/>
      <c r="O62">
        <f>IF(J62&lt;&gt;"",J62,D62)</f>
        <v/>
      </c>
    </row>
    <row r="63">
      <c r="A63" t="inlineStr">
        <is>
          <t>CTR-006</t>
        </is>
      </c>
      <c r="B63" t="inlineStr">
        <is>
          <t>CTR-006_SOW_BlueStar_Services.pdf</t>
        </is>
      </c>
      <c r="C63" t="inlineStr">
        <is>
          <t>GoverningLaw</t>
        </is>
      </c>
      <c r="D63" t="inlineStr">
        <is>
          <t>State of Illinois</t>
        </is>
      </c>
      <c r="E63" t="n">
        <v>1</v>
      </c>
      <c r="F63" t="n">
        <v>1</v>
      </c>
      <c r="G63" t="inlineStr">
        <is>
          <t>accordance with the laws of the State of Illinois</t>
        </is>
      </c>
      <c r="H63" t="inlineStr"/>
      <c r="I63" t="inlineStr"/>
      <c r="O63">
        <f>IF(J63&lt;&gt;"",J63,D63)</f>
        <v/>
      </c>
    </row>
    <row r="64">
      <c r="A64" t="inlineStr">
        <is>
          <t>CTR-006</t>
        </is>
      </c>
      <c r="B64" t="inlineStr">
        <is>
          <t>CTR-006_SOW_BlueStar_Services.pdf</t>
        </is>
      </c>
      <c r="C64" t="inlineStr">
        <is>
          <t>PaymentTerms</t>
        </is>
      </c>
      <c r="D64" t="inlineStr">
        <is>
          <t>Net 30</t>
        </is>
      </c>
      <c r="E64" t="n">
        <v>1</v>
      </c>
      <c r="F64" t="n">
        <v>1</v>
      </c>
      <c r="G64" t="inlineStr">
        <is>
          <t>Payment Terms: Net 30</t>
        </is>
      </c>
      <c r="H64" t="inlineStr"/>
      <c r="I64" t="inlineStr"/>
      <c r="O64">
        <f>IF(J64&lt;&gt;"",J64,D64)</f>
        <v/>
      </c>
    </row>
    <row r="65">
      <c r="A65" t="inlineStr">
        <is>
          <t>CTR-006</t>
        </is>
      </c>
      <c r="B65" t="inlineStr">
        <is>
          <t>CTR-006_SOW_BlueStar_Services.pdf</t>
        </is>
      </c>
      <c r="C65" t="inlineStr">
        <is>
          <t>AutoRenewal</t>
        </is>
      </c>
      <c r="E65" t="n">
        <v>0</v>
      </c>
      <c r="H65" t="inlineStr"/>
      <c r="I65" t="inlineStr"/>
      <c r="O65">
        <f>IF(J65&lt;&gt;"",J65,D65)</f>
        <v/>
      </c>
    </row>
    <row r="66">
      <c r="A66" t="inlineStr">
        <is>
          <t>CTR-006</t>
        </is>
      </c>
      <c r="B66" t="inlineStr">
        <is>
          <t>CTR-006_SOW_BlueStar_Services.pdf</t>
        </is>
      </c>
      <c r="C66" t="inlineStr">
        <is>
          <t>LiabilityCap</t>
        </is>
      </c>
      <c r="E66" t="n">
        <v>0</v>
      </c>
      <c r="H66" t="inlineStr">
        <is>
          <t>High</t>
        </is>
      </c>
      <c r="I66" t="inlineStr">
        <is>
          <t>No liability cap clause found -- legal review recommended</t>
        </is>
      </c>
      <c r="O66">
        <f>IF(J66&lt;&gt;"",J66,D66)</f>
        <v/>
      </c>
    </row>
    <row r="67">
      <c r="A67" t="inlineStr">
        <is>
          <t>CTR-006</t>
        </is>
      </c>
      <c r="B67" t="inlineStr">
        <is>
          <t>CTR-006_SOW_BlueStar_Services.pdf</t>
        </is>
      </c>
      <c r="C67" t="inlineStr">
        <is>
          <t>TerminationClause</t>
        </is>
      </c>
      <c r="E67" t="n">
        <v>0</v>
      </c>
      <c r="H67" t="inlineStr"/>
      <c r="I67" t="inlineStr"/>
      <c r="O67">
        <f>IF(J67&lt;&gt;"",J67,D67)</f>
        <v/>
      </c>
    </row>
    <row r="68">
      <c r="A68" t="inlineStr">
        <is>
          <t>CTR-007</t>
        </is>
      </c>
      <c r="B68" t="inlineStr">
        <is>
          <t>CTR-007_SOW_Crestline_Analytics.pdf</t>
        </is>
      </c>
      <c r="C68" t="inlineStr">
        <is>
          <t>Supplier</t>
        </is>
      </c>
      <c r="D68" t="inlineStr">
        <is>
          <t>Crestline Analytics LLC</t>
        </is>
      </c>
      <c r="E68" t="n">
        <v>0.98</v>
      </c>
      <c r="F68" t="n">
        <v>1</v>
      </c>
      <c r="G68" t="inlineStr">
        <is>
          <t>Crestline Analytics LLC ("Supplier")</t>
        </is>
      </c>
      <c r="H68" t="inlineStr"/>
      <c r="I68" t="inlineStr"/>
      <c r="O68">
        <f>IF(J68&lt;&gt;"",J68,D68)</f>
        <v/>
      </c>
    </row>
    <row r="69">
      <c r="A69" t="inlineStr">
        <is>
          <t>CTR-007</t>
        </is>
      </c>
      <c r="B69" t="inlineStr">
        <is>
          <t>CTR-007_SOW_Crestline_Analytics.pdf</t>
        </is>
      </c>
      <c r="C69" t="inlineStr">
        <is>
          <t>ContractType</t>
        </is>
      </c>
      <c r="D69" t="inlineStr">
        <is>
          <t>Statement of Work</t>
        </is>
      </c>
      <c r="E69" t="n">
        <v>0.95</v>
      </c>
      <c r="F69" t="n">
        <v>1</v>
      </c>
      <c r="G69" t="inlineStr">
        <is>
          <t>STATEMENT OF WORK</t>
        </is>
      </c>
      <c r="H69" t="inlineStr"/>
      <c r="I69" t="inlineStr"/>
      <c r="O69">
        <f>IF(J69&lt;&gt;"",J69,D69)</f>
        <v/>
      </c>
    </row>
    <row r="70">
      <c r="A70" t="inlineStr">
        <is>
          <t>CTR-007</t>
        </is>
      </c>
      <c r="B70" t="inlineStr">
        <is>
          <t>CTR-007_SOW_Crestline_Analytics.pdf</t>
        </is>
      </c>
      <c r="C70" t="inlineStr">
        <is>
          <t>EffectiveDate</t>
        </is>
      </c>
      <c r="D70" t="inlineStr">
        <is>
          <t>2023-11-01</t>
        </is>
      </c>
      <c r="E70" t="n">
        <v>0.98</v>
      </c>
      <c r="F70" t="n">
        <v>1</v>
      </c>
      <c r="G70" t="inlineStr">
        <is>
          <t>entered into as of 2023-11-01 ("Effective Date")</t>
        </is>
      </c>
      <c r="H70" t="inlineStr"/>
      <c r="I70" t="inlineStr"/>
      <c r="O70">
        <f>IF(J70&lt;&gt;"",J70,D70)</f>
        <v/>
      </c>
    </row>
    <row r="71">
      <c r="A71" t="inlineStr">
        <is>
          <t>CTR-007</t>
        </is>
      </c>
      <c r="B71" t="inlineStr">
        <is>
          <t>CTR-007_SOW_Crestline_Analytics.pdf</t>
        </is>
      </c>
      <c r="C71" t="inlineStr">
        <is>
          <t>ExpirationDate</t>
        </is>
      </c>
      <c r="D71" t="inlineStr">
        <is>
          <t>2024-10-31</t>
        </is>
      </c>
      <c r="E71" t="n">
        <v>0.98</v>
      </c>
      <c r="F71" t="n">
        <v>1</v>
      </c>
      <c r="G71" t="inlineStr">
        <is>
          <t>Expiration Date: 2024-10-31</t>
        </is>
      </c>
      <c r="H71" t="inlineStr">
        <is>
          <t>High</t>
        </is>
      </c>
      <c r="I71" t="inlineStr">
        <is>
          <t>Contract appears expired -- verify active status before use</t>
        </is>
      </c>
      <c r="O71">
        <f>IF(J71&lt;&gt;"",J71,D71)</f>
        <v/>
      </c>
    </row>
    <row r="72">
      <c r="A72" t="inlineStr">
        <is>
          <t>CTR-007</t>
        </is>
      </c>
      <c r="B72" t="inlineStr">
        <is>
          <t>CTR-007_SOW_Crestline_Analytics.pdf</t>
        </is>
      </c>
      <c r="C72" t="inlineStr">
        <is>
          <t>ContractValue</t>
        </is>
      </c>
      <c r="D72" t="inlineStr">
        <is>
          <t>$98,500</t>
        </is>
      </c>
      <c r="E72" t="n">
        <v>0.98</v>
      </c>
      <c r="F72" t="n">
        <v>1</v>
      </c>
      <c r="G72" t="inlineStr">
        <is>
          <t>Total Contract Value: $98,500</t>
        </is>
      </c>
      <c r="H72" t="inlineStr"/>
      <c r="I72" t="inlineStr"/>
      <c r="O72">
        <f>IF(J72&lt;&gt;"",J72,D72)</f>
        <v/>
      </c>
    </row>
    <row r="73">
      <c r="A73" t="inlineStr">
        <is>
          <t>CTR-007</t>
        </is>
      </c>
      <c r="B73" t="inlineStr">
        <is>
          <t>CTR-007_SOW_Crestline_Analytics.pdf</t>
        </is>
      </c>
      <c r="C73" t="inlineStr">
        <is>
          <t>BusinessEntity</t>
        </is>
      </c>
      <c r="D73" t="inlineStr">
        <is>
          <t>Braden Corp - Marketing</t>
        </is>
      </c>
      <c r="E73" t="n">
        <v>0.98</v>
      </c>
      <c r="F73" t="n">
        <v>1</v>
      </c>
      <c r="G73" t="inlineStr">
        <is>
          <t>Braden Corp - Marketing ("Client")</t>
        </is>
      </c>
      <c r="H73" t="inlineStr"/>
      <c r="I73" t="inlineStr"/>
      <c r="O73">
        <f>IF(J73&lt;&gt;"",J73,D73)</f>
        <v/>
      </c>
    </row>
    <row r="74">
      <c r="A74" t="inlineStr">
        <is>
          <t>CTR-007</t>
        </is>
      </c>
      <c r="B74" t="inlineStr">
        <is>
          <t>CTR-007_SOW_Crestline_Analytics.pdf</t>
        </is>
      </c>
      <c r="C74" t="inlineStr">
        <is>
          <t>GoverningLaw</t>
        </is>
      </c>
      <c r="D74" t="inlineStr">
        <is>
          <t>State of Washington</t>
        </is>
      </c>
      <c r="E74" t="n">
        <v>0.98</v>
      </c>
      <c r="F74" t="n">
        <v>1</v>
      </c>
      <c r="G74" t="inlineStr">
        <is>
          <t>laws of the State of Washington</t>
        </is>
      </c>
      <c r="H74" t="inlineStr"/>
      <c r="I74" t="inlineStr"/>
      <c r="O74">
        <f>IF(J74&lt;&gt;"",J74,D74)</f>
        <v/>
      </c>
    </row>
    <row r="75">
      <c r="A75" t="inlineStr">
        <is>
          <t>CTR-007</t>
        </is>
      </c>
      <c r="B75" t="inlineStr">
        <is>
          <t>CTR-007_SOW_Crestline_Analytics.pdf</t>
        </is>
      </c>
      <c r="C75" t="inlineStr">
        <is>
          <t>PaymentTerms</t>
        </is>
      </c>
      <c r="D75" t="inlineStr">
        <is>
          <t>Net 45</t>
        </is>
      </c>
      <c r="E75" t="n">
        <v>0.98</v>
      </c>
      <c r="F75" t="n">
        <v>1</v>
      </c>
      <c r="G75" t="inlineStr">
        <is>
          <t>Payment Terms: Net 45</t>
        </is>
      </c>
      <c r="H75" t="inlineStr"/>
      <c r="I75" t="inlineStr"/>
      <c r="O75">
        <f>IF(J75&lt;&gt;"",J75,D75)</f>
        <v/>
      </c>
    </row>
    <row r="76">
      <c r="A76" t="inlineStr">
        <is>
          <t>CTR-007</t>
        </is>
      </c>
      <c r="B76" t="inlineStr">
        <is>
          <t>CTR-007_SOW_Crestline_Analytics.pdf</t>
        </is>
      </c>
      <c r="C76" t="inlineStr">
        <is>
          <t>AutoRenewal</t>
        </is>
      </c>
      <c r="E76" t="n">
        <v>0</v>
      </c>
      <c r="H76" t="inlineStr"/>
      <c r="I76" t="inlineStr"/>
      <c r="O76">
        <f>IF(J76&lt;&gt;"",J76,D76)</f>
        <v/>
      </c>
    </row>
    <row r="77">
      <c r="A77" t="inlineStr">
        <is>
          <t>CTR-007</t>
        </is>
      </c>
      <c r="B77" t="inlineStr">
        <is>
          <t>CTR-007_SOW_Crestline_Analytics.pdf</t>
        </is>
      </c>
      <c r="C77" t="inlineStr">
        <is>
          <t>LiabilityCap</t>
        </is>
      </c>
      <c r="D77" t="inlineStr">
        <is>
          <t>total fees paid or payable in the twelve (12) months preceding the claim</t>
        </is>
      </c>
      <c r="E77" t="n">
        <v>0.95</v>
      </c>
      <c r="F77" t="n">
        <v>1</v>
      </c>
      <c r="G77" t="inlineStr">
        <is>
          <t>exceed the total fees paid or payable by Client to Supplier in the twelve (12) months</t>
        </is>
      </c>
      <c r="H77" t="inlineStr"/>
      <c r="I77" t="inlineStr"/>
      <c r="O77">
        <f>IF(J77&lt;&gt;"",J77,D77)</f>
        <v/>
      </c>
    </row>
    <row r="78">
      <c r="A78" t="inlineStr">
        <is>
          <t>CTR-007</t>
        </is>
      </c>
      <c r="B78" t="inlineStr">
        <is>
          <t>CTR-007_SOW_Crestline_Analytics.pdf</t>
        </is>
      </c>
      <c r="C78" t="inlineStr">
        <is>
          <t>TerminationClause</t>
        </is>
      </c>
      <c r="D78" t="inlineStr">
        <is>
          <t>Thirty (30) days prior written notice for convenience</t>
        </is>
      </c>
      <c r="E78" t="n">
        <v>0.95</v>
      </c>
      <c r="F78" t="n">
        <v>1</v>
      </c>
      <c r="G78" t="inlineStr">
        <is>
          <t>terminate this Agreement for any reason upon thirty (30) days prior written notice</t>
        </is>
      </c>
      <c r="H78" t="inlineStr"/>
      <c r="I78" t="inlineStr"/>
      <c r="O78">
        <f>IF(J78&lt;&gt;"",J78,D78)</f>
        <v/>
      </c>
    </row>
    <row r="79">
      <c r="A79" t="inlineStr">
        <is>
          <t>CTR-008</t>
        </is>
      </c>
      <c r="B79" t="inlineStr">
        <is>
          <t>CTR-008_NDA_Horizon_Partners.docx</t>
        </is>
      </c>
      <c r="C79" t="inlineStr">
        <is>
          <t>Supplier</t>
        </is>
      </c>
      <c r="E79" t="n">
        <v>0</v>
      </c>
      <c r="H79" t="inlineStr">
        <is>
          <t>High</t>
        </is>
      </c>
      <c r="I79" t="inlineStr">
        <is>
          <t>Supplier name missing -- contract cannot be staged for Coupa</t>
        </is>
      </c>
      <c r="O79">
        <f>IF(J79&lt;&gt;"",J79,D79)</f>
        <v/>
      </c>
    </row>
    <row r="80">
      <c r="A80" t="inlineStr">
        <is>
          <t>CTR-008</t>
        </is>
      </c>
      <c r="B80" t="inlineStr">
        <is>
          <t>CTR-008_NDA_Horizon_Partners.docx</t>
        </is>
      </c>
      <c r="C80" t="inlineStr">
        <is>
          <t>ContractType</t>
        </is>
      </c>
      <c r="D80" t="inlineStr">
        <is>
          <t>Non-Disclosure Agreement</t>
        </is>
      </c>
      <c r="E80" t="n">
        <v>1</v>
      </c>
      <c r="F80" t="n">
        <v>1</v>
      </c>
      <c r="G80" t="inlineStr">
        <is>
          <t>NON-DISCLOSURE AGREEMENT</t>
        </is>
      </c>
      <c r="H80" t="inlineStr"/>
      <c r="I80" t="inlineStr"/>
      <c r="O80">
        <f>IF(J80&lt;&gt;"",J80,D80)</f>
        <v/>
      </c>
    </row>
    <row r="81">
      <c r="A81" t="inlineStr">
        <is>
          <t>CTR-008</t>
        </is>
      </c>
      <c r="B81" t="inlineStr">
        <is>
          <t>CTR-008_NDA_Horizon_Partners.docx</t>
        </is>
      </c>
      <c r="C81" t="inlineStr">
        <is>
          <t>EffectiveDate</t>
        </is>
      </c>
      <c r="D81" t="inlineStr">
        <is>
          <t>2024-05-01</t>
        </is>
      </c>
      <c r="E81" t="n">
        <v>1</v>
      </c>
      <c r="F81" t="n">
        <v>1</v>
      </c>
      <c r="G81" t="inlineStr">
        <is>
          <t>entered into as of 2024-05-01</t>
        </is>
      </c>
      <c r="H81" t="inlineStr"/>
      <c r="I81" t="inlineStr"/>
      <c r="O81">
        <f>IF(J81&lt;&gt;"",J81,D81)</f>
        <v/>
      </c>
    </row>
    <row r="82">
      <c r="A82" t="inlineStr">
        <is>
          <t>CTR-008</t>
        </is>
      </c>
      <c r="B82" t="inlineStr">
        <is>
          <t>CTR-008_NDA_Horizon_Partners.docx</t>
        </is>
      </c>
      <c r="C82" t="inlineStr">
        <is>
          <t>ExpirationDate</t>
        </is>
      </c>
      <c r="D82" t="inlineStr">
        <is>
          <t>2027-04-30</t>
        </is>
      </c>
      <c r="E82" t="n">
        <v>1</v>
      </c>
      <c r="F82" t="n">
        <v>1</v>
      </c>
      <c r="G82" t="inlineStr">
        <is>
          <t>remain in effect until 2027-04-30</t>
        </is>
      </c>
      <c r="H82" t="inlineStr"/>
      <c r="I82" t="inlineStr"/>
      <c r="O82">
        <f>IF(J82&lt;&gt;"",J82,D82)</f>
        <v/>
      </c>
    </row>
    <row r="83">
      <c r="A83" t="inlineStr">
        <is>
          <t>CTR-008</t>
        </is>
      </c>
      <c r="B83" t="inlineStr">
        <is>
          <t>CTR-008_NDA_Horizon_Partners.docx</t>
        </is>
      </c>
      <c r="C83" t="inlineStr">
        <is>
          <t>ContractValue</t>
        </is>
      </c>
      <c r="E83" t="n">
        <v>0</v>
      </c>
      <c r="H83" t="inlineStr">
        <is>
          <t>Medium</t>
        </is>
      </c>
      <c r="I83" t="inlineStr">
        <is>
          <t>Contract value not extracted -- manual review required</t>
        </is>
      </c>
      <c r="O83">
        <f>IF(J83&lt;&gt;"",J83,D83)</f>
        <v/>
      </c>
    </row>
    <row r="84">
      <c r="A84" t="inlineStr">
        <is>
          <t>CTR-008</t>
        </is>
      </c>
      <c r="B84" t="inlineStr">
        <is>
          <t>CTR-008_NDA_Horizon_Partners.docx</t>
        </is>
      </c>
      <c r="C84" t="inlineStr">
        <is>
          <t>BusinessEntity</t>
        </is>
      </c>
      <c r="D84" t="inlineStr">
        <is>
          <t>Horizon Strategic Partners; Braden Corp - Legal</t>
        </is>
      </c>
      <c r="E84" t="n">
        <v>0.95</v>
      </c>
      <c r="F84" t="n">
        <v>1</v>
      </c>
      <c r="G84" t="inlineStr">
        <is>
          <t>between: Horizon Strategic Partners ("Disclosing Party") and Braden Corp - Legal</t>
        </is>
      </c>
      <c r="H84" t="inlineStr"/>
      <c r="I84" t="inlineStr"/>
      <c r="O84">
        <f>IF(J84&lt;&gt;"",J84,D84)</f>
        <v/>
      </c>
    </row>
    <row r="85">
      <c r="A85" t="inlineStr">
        <is>
          <t>CTR-008</t>
        </is>
      </c>
      <c r="B85" t="inlineStr">
        <is>
          <t>CTR-008_NDA_Horizon_Partners.docx</t>
        </is>
      </c>
      <c r="C85" t="inlineStr">
        <is>
          <t>GoverningLaw</t>
        </is>
      </c>
      <c r="D85" t="inlineStr">
        <is>
          <t>State of Delaware</t>
        </is>
      </c>
      <c r="E85" t="n">
        <v>1</v>
      </c>
      <c r="F85" t="n">
        <v>1</v>
      </c>
      <c r="G85" t="inlineStr">
        <is>
          <t>governed by the laws of the State of Delaware</t>
        </is>
      </c>
      <c r="H85" t="inlineStr"/>
      <c r="I85" t="inlineStr"/>
      <c r="O85">
        <f>IF(J85&lt;&gt;"",J85,D85)</f>
        <v/>
      </c>
    </row>
    <row r="86">
      <c r="A86" t="inlineStr">
        <is>
          <t>CTR-008</t>
        </is>
      </c>
      <c r="B86" t="inlineStr">
        <is>
          <t>CTR-008_NDA_Horizon_Partners.docx</t>
        </is>
      </c>
      <c r="C86" t="inlineStr">
        <is>
          <t>PaymentTerms</t>
        </is>
      </c>
      <c r="E86" t="n">
        <v>0</v>
      </c>
      <c r="H86" t="inlineStr"/>
      <c r="I86" t="inlineStr"/>
      <c r="O86">
        <f>IF(J86&lt;&gt;"",J86,D86)</f>
        <v/>
      </c>
    </row>
    <row r="87">
      <c r="A87" t="inlineStr">
        <is>
          <t>CTR-008</t>
        </is>
      </c>
      <c r="B87" t="inlineStr">
        <is>
          <t>CTR-008_NDA_Horizon_Partners.docx</t>
        </is>
      </c>
      <c r="C87" t="inlineStr">
        <is>
          <t>AutoRenewal</t>
        </is>
      </c>
      <c r="E87" t="n">
        <v>0</v>
      </c>
      <c r="H87" t="inlineStr"/>
      <c r="I87" t="inlineStr"/>
      <c r="O87">
        <f>IF(J87&lt;&gt;"",J87,D87)</f>
        <v/>
      </c>
    </row>
    <row r="88">
      <c r="A88" t="inlineStr">
        <is>
          <t>CTR-008</t>
        </is>
      </c>
      <c r="B88" t="inlineStr">
        <is>
          <t>CTR-008_NDA_Horizon_Partners.docx</t>
        </is>
      </c>
      <c r="C88" t="inlineStr">
        <is>
          <t>LiabilityCap</t>
        </is>
      </c>
      <c r="E88" t="n">
        <v>0</v>
      </c>
      <c r="H88" t="inlineStr">
        <is>
          <t>High</t>
        </is>
      </c>
      <c r="I88" t="inlineStr">
        <is>
          <t>No liability cap clause found -- legal review recommended</t>
        </is>
      </c>
      <c r="O88">
        <f>IF(J88&lt;&gt;"",J88,D88)</f>
        <v/>
      </c>
    </row>
    <row r="89">
      <c r="A89" t="inlineStr">
        <is>
          <t>CTR-008</t>
        </is>
      </c>
      <c r="B89" t="inlineStr">
        <is>
          <t>CTR-008_NDA_Horizon_Partners.docx</t>
        </is>
      </c>
      <c r="C89" t="inlineStr">
        <is>
          <t>TerminationClause</t>
        </is>
      </c>
      <c r="D89" t="inlineStr">
        <is>
          <t>Either party may terminate this Agreement upon thirty (30) days written notice.</t>
        </is>
      </c>
      <c r="E89" t="n">
        <v>1</v>
      </c>
      <c r="F89" t="n">
        <v>1</v>
      </c>
      <c r="G89" t="inlineStr">
        <is>
          <t>terminate this Agreement upon thirty (30) days written notice</t>
        </is>
      </c>
      <c r="H89" t="inlineStr"/>
      <c r="I89" t="inlineStr"/>
      <c r="O89">
        <f>IF(J89&lt;&gt;"",J89,D89)</f>
        <v/>
      </c>
    </row>
    <row r="90">
      <c r="A90" t="inlineStr">
        <is>
          <t>CTR-009</t>
        </is>
      </c>
      <c r="B90" t="inlineStr">
        <is>
          <t>CTR-009_NDA_Redwood_Innovations.docx</t>
        </is>
      </c>
      <c r="C90" t="inlineStr">
        <is>
          <t>Supplier</t>
        </is>
      </c>
      <c r="E90" t="n">
        <v>0</v>
      </c>
      <c r="H90" t="inlineStr">
        <is>
          <t>High</t>
        </is>
      </c>
      <c r="I90" t="inlineStr">
        <is>
          <t>Supplier name missing -- contract cannot be staged for Coupa</t>
        </is>
      </c>
      <c r="O90">
        <f>IF(J90&lt;&gt;"",J90,D90)</f>
        <v/>
      </c>
    </row>
    <row r="91">
      <c r="A91" t="inlineStr">
        <is>
          <t>CTR-009</t>
        </is>
      </c>
      <c r="B91" t="inlineStr">
        <is>
          <t>CTR-009_NDA_Redwood_Innovations.docx</t>
        </is>
      </c>
      <c r="C91" t="inlineStr">
        <is>
          <t>ContractType</t>
        </is>
      </c>
      <c r="D91" t="inlineStr">
        <is>
          <t>Non-Disclosure Agreement</t>
        </is>
      </c>
      <c r="E91" t="n">
        <v>1</v>
      </c>
      <c r="F91" t="n">
        <v>1</v>
      </c>
      <c r="G91" t="inlineStr">
        <is>
          <t>NON-DISCLOSURE AGREEMENT</t>
        </is>
      </c>
      <c r="H91" t="inlineStr"/>
      <c r="I91" t="inlineStr"/>
      <c r="O91">
        <f>IF(J91&lt;&gt;"",J91,D91)</f>
        <v/>
      </c>
    </row>
    <row r="92">
      <c r="A92" t="inlineStr">
        <is>
          <t>CTR-009</t>
        </is>
      </c>
      <c r="B92" t="inlineStr">
        <is>
          <t>CTR-009_NDA_Redwood_Innovations.docx</t>
        </is>
      </c>
      <c r="C92" t="inlineStr">
        <is>
          <t>EffectiveDate</t>
        </is>
      </c>
      <c r="D92" t="inlineStr">
        <is>
          <t>2024-07-15</t>
        </is>
      </c>
      <c r="E92" t="n">
        <v>1</v>
      </c>
      <c r="F92" t="n">
        <v>1</v>
      </c>
      <c r="G92" t="inlineStr">
        <is>
          <t>entered into as of 2024-07-15</t>
        </is>
      </c>
      <c r="H92" t="inlineStr"/>
      <c r="I92" t="inlineStr"/>
      <c r="O92">
        <f>IF(J92&lt;&gt;"",J92,D92)</f>
        <v/>
      </c>
    </row>
    <row r="93">
      <c r="A93" t="inlineStr">
        <is>
          <t>CTR-009</t>
        </is>
      </c>
      <c r="B93" t="inlineStr">
        <is>
          <t>CTR-009_NDA_Redwood_Innovations.docx</t>
        </is>
      </c>
      <c r="C93" t="inlineStr">
        <is>
          <t>ExpirationDate</t>
        </is>
      </c>
      <c r="D93" t="inlineStr">
        <is>
          <t>2027-07-14</t>
        </is>
      </c>
      <c r="E93" t="n">
        <v>1</v>
      </c>
      <c r="F93" t="n">
        <v>1</v>
      </c>
      <c r="G93" t="inlineStr">
        <is>
          <t>shall remain in effect until 2027-07-14</t>
        </is>
      </c>
      <c r="H93" t="inlineStr"/>
      <c r="I93" t="inlineStr"/>
      <c r="O93">
        <f>IF(J93&lt;&gt;"",J93,D93)</f>
        <v/>
      </c>
    </row>
    <row r="94">
      <c r="A94" t="inlineStr">
        <is>
          <t>CTR-009</t>
        </is>
      </c>
      <c r="B94" t="inlineStr">
        <is>
          <t>CTR-009_NDA_Redwood_Innovations.docx</t>
        </is>
      </c>
      <c r="C94" t="inlineStr">
        <is>
          <t>ContractValue</t>
        </is>
      </c>
      <c r="E94" t="n">
        <v>0</v>
      </c>
      <c r="H94" t="inlineStr">
        <is>
          <t>Medium</t>
        </is>
      </c>
      <c r="I94" t="inlineStr">
        <is>
          <t>Contract value not extracted -- manual review required</t>
        </is>
      </c>
      <c r="O94">
        <f>IF(J94&lt;&gt;"",J94,D94)</f>
        <v/>
      </c>
    </row>
    <row r="95">
      <c r="A95" t="inlineStr">
        <is>
          <t>CTR-009</t>
        </is>
      </c>
      <c r="B95" t="inlineStr">
        <is>
          <t>CTR-009_NDA_Redwood_Innovations.docx</t>
        </is>
      </c>
      <c r="C95" t="inlineStr">
        <is>
          <t>BusinessEntity</t>
        </is>
      </c>
      <c r="D95" t="inlineStr">
        <is>
          <t>Redwood Innovations Inc.</t>
        </is>
      </c>
      <c r="E95" t="n">
        <v>0.95</v>
      </c>
      <c r="F95" t="n">
        <v>1</v>
      </c>
      <c r="G95" t="inlineStr">
        <is>
          <t>Redwood Innovations Inc. ("Disclosing Party")</t>
        </is>
      </c>
      <c r="H95" t="inlineStr"/>
      <c r="I95" t="inlineStr"/>
      <c r="O95">
        <f>IF(J95&lt;&gt;"",J95,D95)</f>
        <v/>
      </c>
    </row>
    <row r="96">
      <c r="A96" t="inlineStr">
        <is>
          <t>CTR-009</t>
        </is>
      </c>
      <c r="B96" t="inlineStr">
        <is>
          <t>CTR-009_NDA_Redwood_Innovations.docx</t>
        </is>
      </c>
      <c r="C96" t="inlineStr">
        <is>
          <t>GoverningLaw</t>
        </is>
      </c>
      <c r="D96" t="inlineStr">
        <is>
          <t>State of California</t>
        </is>
      </c>
      <c r="E96" t="n">
        <v>1</v>
      </c>
      <c r="F96" t="n">
        <v>1</v>
      </c>
      <c r="G96" t="inlineStr">
        <is>
          <t>governed by the laws of the State of California</t>
        </is>
      </c>
      <c r="H96" t="inlineStr"/>
      <c r="I96" t="inlineStr"/>
      <c r="O96">
        <f>IF(J96&lt;&gt;"",J96,D96)</f>
        <v/>
      </c>
    </row>
    <row r="97">
      <c r="A97" t="inlineStr">
        <is>
          <t>CTR-009</t>
        </is>
      </c>
      <c r="B97" t="inlineStr">
        <is>
          <t>CTR-009_NDA_Redwood_Innovations.docx</t>
        </is>
      </c>
      <c r="C97" t="inlineStr">
        <is>
          <t>PaymentTerms</t>
        </is>
      </c>
      <c r="E97" t="n">
        <v>0</v>
      </c>
      <c r="H97" t="inlineStr"/>
      <c r="I97" t="inlineStr"/>
      <c r="O97">
        <f>IF(J97&lt;&gt;"",J97,D97)</f>
        <v/>
      </c>
    </row>
    <row r="98">
      <c r="A98" t="inlineStr">
        <is>
          <t>CTR-009</t>
        </is>
      </c>
      <c r="B98" t="inlineStr">
        <is>
          <t>CTR-009_NDA_Redwood_Innovations.docx</t>
        </is>
      </c>
      <c r="C98" t="inlineStr">
        <is>
          <t>AutoRenewal</t>
        </is>
      </c>
      <c r="E98" t="n">
        <v>0</v>
      </c>
      <c r="H98" t="inlineStr"/>
      <c r="I98" t="inlineStr"/>
      <c r="O98">
        <f>IF(J98&lt;&gt;"",J98,D98)</f>
        <v/>
      </c>
    </row>
    <row r="99">
      <c r="A99" t="inlineStr">
        <is>
          <t>CTR-009</t>
        </is>
      </c>
      <c r="B99" t="inlineStr">
        <is>
          <t>CTR-009_NDA_Redwood_Innovations.docx</t>
        </is>
      </c>
      <c r="C99" t="inlineStr">
        <is>
          <t>LiabilityCap</t>
        </is>
      </c>
      <c r="E99" t="n">
        <v>0</v>
      </c>
      <c r="H99" t="inlineStr">
        <is>
          <t>High</t>
        </is>
      </c>
      <c r="I99" t="inlineStr">
        <is>
          <t>No liability cap clause found -- legal review recommended</t>
        </is>
      </c>
      <c r="O99">
        <f>IF(J99&lt;&gt;"",J99,D99)</f>
        <v/>
      </c>
    </row>
    <row r="100">
      <c r="A100" t="inlineStr">
        <is>
          <t>CTR-009</t>
        </is>
      </c>
      <c r="B100" t="inlineStr">
        <is>
          <t>CTR-009_NDA_Redwood_Innovations.docx</t>
        </is>
      </c>
      <c r="C100" t="inlineStr">
        <is>
          <t>TerminationClause</t>
        </is>
      </c>
      <c r="D100" t="inlineStr">
        <is>
          <t>thirty (30) days written notice</t>
        </is>
      </c>
      <c r="E100" t="n">
        <v>1</v>
      </c>
      <c r="F100" t="n">
        <v>1</v>
      </c>
      <c r="G100" t="inlineStr">
        <is>
          <t>terminate this Agreement upon thirty (30) days written notice</t>
        </is>
      </c>
      <c r="H100" t="inlineStr"/>
      <c r="I100" t="inlineStr"/>
      <c r="O100">
        <f>IF(J100&lt;&gt;"",J100,D100)</f>
        <v/>
      </c>
    </row>
    <row r="101">
      <c r="A101" t="inlineStr">
        <is>
          <t>CTR-010</t>
        </is>
      </c>
      <c r="B101" t="inlineStr">
        <is>
          <t>CTR-010_PurchaseAgreement_Cascade_Supply.pdf</t>
        </is>
      </c>
      <c r="C101" t="inlineStr">
        <is>
          <t>Supplier</t>
        </is>
      </c>
      <c r="D101" t="inlineStr">
        <is>
          <t>Cascade Supply Co.</t>
        </is>
      </c>
      <c r="E101" t="n">
        <v>0.99</v>
      </c>
      <c r="F101" t="n">
        <v>1</v>
      </c>
      <c r="G101" t="inlineStr">
        <is>
          <t>Cascade Supply Co. ("Supplier")</t>
        </is>
      </c>
      <c r="H101" t="inlineStr"/>
      <c r="I101" t="inlineStr"/>
      <c r="O101">
        <f>IF(J101&lt;&gt;"",J101,D101)</f>
        <v/>
      </c>
    </row>
    <row r="102">
      <c r="A102" t="inlineStr">
        <is>
          <t>CTR-010</t>
        </is>
      </c>
      <c r="B102" t="inlineStr">
        <is>
          <t>CTR-010_PurchaseAgreement_Cascade_Supply.pdf</t>
        </is>
      </c>
      <c r="C102" t="inlineStr">
        <is>
          <t>ContractType</t>
        </is>
      </c>
      <c r="D102" t="inlineStr">
        <is>
          <t>Purchase Agreement</t>
        </is>
      </c>
      <c r="E102" t="n">
        <v>0.99</v>
      </c>
      <c r="F102" t="n">
        <v>1</v>
      </c>
      <c r="G102" t="inlineStr">
        <is>
          <t>PURCHASE AGREEMENT</t>
        </is>
      </c>
      <c r="H102" t="inlineStr"/>
      <c r="I102" t="inlineStr"/>
      <c r="O102">
        <f>IF(J102&lt;&gt;"",J102,D102)</f>
        <v/>
      </c>
    </row>
    <row r="103">
      <c r="A103" t="inlineStr">
        <is>
          <t>CTR-010</t>
        </is>
      </c>
      <c r="B103" t="inlineStr">
        <is>
          <t>CTR-010_PurchaseAgreement_Cascade_Supply.pdf</t>
        </is>
      </c>
      <c r="C103" t="inlineStr">
        <is>
          <t>EffectiveDate</t>
        </is>
      </c>
      <c r="D103" t="inlineStr">
        <is>
          <t>2023-05-01</t>
        </is>
      </c>
      <c r="E103" t="n">
        <v>0.99</v>
      </c>
      <c r="F103" t="n">
        <v>1</v>
      </c>
      <c r="G103" t="inlineStr">
        <is>
          <t>entered into as of 2023-05-01 ("Effective Date")</t>
        </is>
      </c>
      <c r="H103" t="inlineStr"/>
      <c r="I103" t="inlineStr"/>
      <c r="O103">
        <f>IF(J103&lt;&gt;"",J103,D103)</f>
        <v/>
      </c>
    </row>
    <row r="104">
      <c r="A104" t="inlineStr">
        <is>
          <t>CTR-010</t>
        </is>
      </c>
      <c r="B104" t="inlineStr">
        <is>
          <t>CTR-010_PurchaseAgreement_Cascade_Supply.pdf</t>
        </is>
      </c>
      <c r="C104" t="inlineStr">
        <is>
          <t>ExpirationDate</t>
        </is>
      </c>
      <c r="D104" t="inlineStr">
        <is>
          <t>2026-05-15</t>
        </is>
      </c>
      <c r="E104" t="n">
        <v>0.99</v>
      </c>
      <c r="F104" t="n">
        <v>1</v>
      </c>
      <c r="G104" t="inlineStr">
        <is>
          <t>Expiration Date: 2026-05-15</t>
        </is>
      </c>
      <c r="H104" t="inlineStr">
        <is>
          <t>Medium</t>
        </is>
      </c>
      <c r="I104" t="inlineStr">
        <is>
          <t>Contract expiring within 90 days -- renewal decision needed</t>
        </is>
      </c>
      <c r="O104">
        <f>IF(J104&lt;&gt;"",J104,D104)</f>
        <v/>
      </c>
    </row>
    <row r="105">
      <c r="A105" t="inlineStr">
        <is>
          <t>CTR-010</t>
        </is>
      </c>
      <c r="B105" t="inlineStr">
        <is>
          <t>CTR-010_PurchaseAgreement_Cascade_Supply.pdf</t>
        </is>
      </c>
      <c r="C105" t="inlineStr">
        <is>
          <t>ContractValue</t>
        </is>
      </c>
      <c r="D105" t="inlineStr">
        <is>
          <t>$560,000</t>
        </is>
      </c>
      <c r="E105" t="n">
        <v>0.99</v>
      </c>
      <c r="F105" t="n">
        <v>1</v>
      </c>
      <c r="G105" t="inlineStr">
        <is>
          <t>Total Contract Value: $560,000</t>
        </is>
      </c>
      <c r="H105" t="inlineStr"/>
      <c r="I105" t="inlineStr"/>
      <c r="O105">
        <f>IF(J105&lt;&gt;"",J105,D105)</f>
        <v/>
      </c>
    </row>
    <row r="106">
      <c r="A106" t="inlineStr">
        <is>
          <t>CTR-010</t>
        </is>
      </c>
      <c r="B106" t="inlineStr">
        <is>
          <t>CTR-010_PurchaseAgreement_Cascade_Supply.pdf</t>
        </is>
      </c>
      <c r="C106" t="inlineStr">
        <is>
          <t>BusinessEntity</t>
        </is>
      </c>
      <c r="D106" t="inlineStr">
        <is>
          <t>Braden Corp - Procurement</t>
        </is>
      </c>
      <c r="E106" t="n">
        <v>0.99</v>
      </c>
      <c r="F106" t="n">
        <v>1</v>
      </c>
      <c r="G106" t="inlineStr">
        <is>
          <t>Braden Corp - Procurement ("Client")</t>
        </is>
      </c>
      <c r="H106" t="inlineStr"/>
      <c r="I106" t="inlineStr"/>
      <c r="O106">
        <f>IF(J106&lt;&gt;"",J106,D106)</f>
        <v/>
      </c>
    </row>
    <row r="107">
      <c r="A107" t="inlineStr">
        <is>
          <t>CTR-010</t>
        </is>
      </c>
      <c r="B107" t="inlineStr">
        <is>
          <t>CTR-010_PurchaseAgreement_Cascade_Supply.pdf</t>
        </is>
      </c>
      <c r="C107" t="inlineStr">
        <is>
          <t>GoverningLaw</t>
        </is>
      </c>
      <c r="D107" t="inlineStr">
        <is>
          <t>State of Oregon</t>
        </is>
      </c>
      <c r="E107" t="n">
        <v>0.99</v>
      </c>
      <c r="F107" t="n">
        <v>1</v>
      </c>
      <c r="G107" t="inlineStr">
        <is>
          <t>laws of the State of Oregon</t>
        </is>
      </c>
      <c r="H107" t="inlineStr"/>
      <c r="I107" t="inlineStr"/>
      <c r="O107">
        <f>IF(J107&lt;&gt;"",J107,D107)</f>
        <v/>
      </c>
    </row>
    <row r="108">
      <c r="A108" t="inlineStr">
        <is>
          <t>CTR-010</t>
        </is>
      </c>
      <c r="B108" t="inlineStr">
        <is>
          <t>CTR-010_PurchaseAgreement_Cascade_Supply.pdf</t>
        </is>
      </c>
      <c r="C108" t="inlineStr">
        <is>
          <t>PaymentTerms</t>
        </is>
      </c>
      <c r="D108" t="inlineStr">
        <is>
          <t>Net 30</t>
        </is>
      </c>
      <c r="E108" t="n">
        <v>0.99</v>
      </c>
      <c r="F108" t="n">
        <v>1</v>
      </c>
      <c r="G108" t="inlineStr">
        <is>
          <t>Payment Terms: Net 30</t>
        </is>
      </c>
      <c r="H108" t="inlineStr"/>
      <c r="I108" t="inlineStr"/>
      <c r="O108">
        <f>IF(J108&lt;&gt;"",J108,D108)</f>
        <v/>
      </c>
    </row>
    <row r="109">
      <c r="A109" t="inlineStr">
        <is>
          <t>CTR-010</t>
        </is>
      </c>
      <c r="B109" t="inlineStr">
        <is>
          <t>CTR-010_PurchaseAgreement_Cascade_Supply.pdf</t>
        </is>
      </c>
      <c r="C109" t="inlineStr">
        <is>
          <t>AutoRenewal</t>
        </is>
      </c>
      <c r="E109" t="n">
        <v>0</v>
      </c>
      <c r="H109" t="inlineStr"/>
      <c r="I109" t="inlineStr"/>
      <c r="O109">
        <f>IF(J109&lt;&gt;"",J109,D109)</f>
        <v/>
      </c>
    </row>
    <row r="110">
      <c r="A110" t="inlineStr">
        <is>
          <t>CTR-010</t>
        </is>
      </c>
      <c r="B110" t="inlineStr">
        <is>
          <t>CTR-010_PurchaseAgreement_Cascade_Supply.pdf</t>
        </is>
      </c>
      <c r="C110" t="inlineStr">
        <is>
          <t>LiabilityCap</t>
        </is>
      </c>
      <c r="D110" t="inlineStr">
        <is>
          <t>Fees paid or payable in the twelve (12) months preceding the claim</t>
        </is>
      </c>
      <c r="E110" t="n">
        <v>0.95</v>
      </c>
      <c r="F110" t="n">
        <v>1</v>
      </c>
      <c r="G110" t="inlineStr">
        <is>
          <t>exceed the total fees paid or payable... in the twelve (12) months preceding the claim</t>
        </is>
      </c>
      <c r="H110" t="inlineStr"/>
      <c r="I110" t="inlineStr"/>
      <c r="O110">
        <f>IF(J110&lt;&gt;"",J110,D110)</f>
        <v/>
      </c>
    </row>
    <row r="111">
      <c r="A111" t="inlineStr">
        <is>
          <t>CTR-010</t>
        </is>
      </c>
      <c r="B111" t="inlineStr">
        <is>
          <t>CTR-010_PurchaseAgreement_Cascade_Supply.pdf</t>
        </is>
      </c>
      <c r="C111" t="inlineStr">
        <is>
          <t>TerminationClause</t>
        </is>
      </c>
      <c r="D111" t="inlineStr">
        <is>
          <t>Termination for convenience with thirty (30) days prior written notice</t>
        </is>
      </c>
      <c r="E111" t="n">
        <v>0.95</v>
      </c>
      <c r="F111" t="n">
        <v>1</v>
      </c>
      <c r="G111" t="inlineStr">
        <is>
          <t>terminate this Agreement for any reason upon thirty (30) days prior written notice</t>
        </is>
      </c>
      <c r="H111" t="inlineStr"/>
      <c r="I111" t="inlineStr"/>
      <c r="O111">
        <f>IF(J111&lt;&gt;"",J111,D111)</f>
        <v/>
      </c>
    </row>
    <row r="112">
      <c r="A112" t="inlineStr">
        <is>
          <t>CTR-011</t>
        </is>
      </c>
      <c r="B112" t="inlineStr">
        <is>
          <t>CTR-011_PurchaseAgreement_Atlas_Materials.pdf</t>
        </is>
      </c>
      <c r="C112" t="inlineStr">
        <is>
          <t>Supplier</t>
        </is>
      </c>
      <c r="D112" t="inlineStr">
        <is>
          <t>Atlas Materials Group</t>
        </is>
      </c>
      <c r="E112" t="n">
        <v>0.95</v>
      </c>
      <c r="F112" t="n">
        <v>1</v>
      </c>
      <c r="G112" t="inlineStr">
        <is>
          <t>Atlas Materials Group ("Supplier")</t>
        </is>
      </c>
      <c r="H112" t="inlineStr"/>
      <c r="I112" t="inlineStr"/>
      <c r="O112">
        <f>IF(J112&lt;&gt;"",J112,D112)</f>
        <v/>
      </c>
    </row>
    <row r="113">
      <c r="A113" t="inlineStr">
        <is>
          <t>CTR-011</t>
        </is>
      </c>
      <c r="B113" t="inlineStr">
        <is>
          <t>CTR-011_PurchaseAgreement_Atlas_Materials.pdf</t>
        </is>
      </c>
      <c r="C113" t="inlineStr">
        <is>
          <t>ContractType</t>
        </is>
      </c>
      <c r="D113" t="inlineStr">
        <is>
          <t>Purchase Agreement</t>
        </is>
      </c>
      <c r="E113" t="n">
        <v>0.95</v>
      </c>
      <c r="F113" t="n">
        <v>1</v>
      </c>
      <c r="G113" t="inlineStr">
        <is>
          <t>PURCHASE AGREEMENT</t>
        </is>
      </c>
      <c r="H113" t="inlineStr"/>
      <c r="I113" t="inlineStr"/>
      <c r="O113">
        <f>IF(J113&lt;&gt;"",J113,D113)</f>
        <v/>
      </c>
    </row>
    <row r="114">
      <c r="A114" t="inlineStr">
        <is>
          <t>CTR-011</t>
        </is>
      </c>
      <c r="B114" t="inlineStr">
        <is>
          <t>CTR-011_PurchaseAgreement_Atlas_Materials.pdf</t>
        </is>
      </c>
      <c r="C114" t="inlineStr">
        <is>
          <t>EffectiveDate</t>
        </is>
      </c>
      <c r="D114" t="inlineStr">
        <is>
          <t>2023-06-15</t>
        </is>
      </c>
      <c r="E114" t="n">
        <v>1</v>
      </c>
      <c r="F114" t="n">
        <v>1</v>
      </c>
      <c r="G114" t="inlineStr">
        <is>
          <t>entered into as of 2023-06-15 ("Effective Date")</t>
        </is>
      </c>
      <c r="H114" t="inlineStr"/>
      <c r="I114" t="inlineStr"/>
      <c r="O114">
        <f>IF(J114&lt;&gt;"",J114,D114)</f>
        <v/>
      </c>
    </row>
    <row r="115">
      <c r="A115" t="inlineStr">
        <is>
          <t>CTR-011</t>
        </is>
      </c>
      <c r="B115" t="inlineStr">
        <is>
          <t>CTR-011_PurchaseAgreement_Atlas_Materials.pdf</t>
        </is>
      </c>
      <c r="C115" t="inlineStr">
        <is>
          <t>ExpirationDate</t>
        </is>
      </c>
      <c r="D115" t="inlineStr">
        <is>
          <t>2026-06-01</t>
        </is>
      </c>
      <c r="E115" t="n">
        <v>1</v>
      </c>
      <c r="F115" t="n">
        <v>1</v>
      </c>
      <c r="G115" t="inlineStr">
        <is>
          <t>Expiration Date: 2026-06-01</t>
        </is>
      </c>
      <c r="H115" t="inlineStr">
        <is>
          <t>Medium</t>
        </is>
      </c>
      <c r="I115" t="inlineStr">
        <is>
          <t>Contract expiring within 90 days -- renewal decision needed</t>
        </is>
      </c>
      <c r="O115">
        <f>IF(J115&lt;&gt;"",J115,D115)</f>
        <v/>
      </c>
    </row>
    <row r="116">
      <c r="A116" t="inlineStr">
        <is>
          <t>CTR-011</t>
        </is>
      </c>
      <c r="B116" t="inlineStr">
        <is>
          <t>CTR-011_PurchaseAgreement_Atlas_Materials.pdf</t>
        </is>
      </c>
      <c r="C116" t="inlineStr">
        <is>
          <t>ContractValue</t>
        </is>
      </c>
      <c r="D116" t="inlineStr">
        <is>
          <t>$1,100,000</t>
        </is>
      </c>
      <c r="E116" t="n">
        <v>1</v>
      </c>
      <c r="F116" t="n">
        <v>1</v>
      </c>
      <c r="G116" t="inlineStr">
        <is>
          <t>Total Contract Value: $1,100,000</t>
        </is>
      </c>
      <c r="H116" t="inlineStr"/>
      <c r="I116" t="inlineStr"/>
      <c r="O116">
        <f>IF(J116&lt;&gt;"",J116,D116)</f>
        <v/>
      </c>
    </row>
    <row r="117">
      <c r="A117" t="inlineStr">
        <is>
          <t>CTR-011</t>
        </is>
      </c>
      <c r="B117" t="inlineStr">
        <is>
          <t>CTR-011_PurchaseAgreement_Atlas_Materials.pdf</t>
        </is>
      </c>
      <c r="C117" t="inlineStr">
        <is>
          <t>BusinessEntity</t>
        </is>
      </c>
      <c r="D117" t="inlineStr">
        <is>
          <t>Braden Corp - Manufacturing</t>
        </is>
      </c>
      <c r="E117" t="n">
        <v>0.95</v>
      </c>
      <c r="F117" t="n">
        <v>1</v>
      </c>
      <c r="G117" t="inlineStr">
        <is>
          <t>Braden Corp - Manufacturing ("Client")</t>
        </is>
      </c>
      <c r="H117" t="inlineStr"/>
      <c r="I117" t="inlineStr"/>
      <c r="O117">
        <f>IF(J117&lt;&gt;"",J117,D117)</f>
        <v/>
      </c>
    </row>
    <row r="118">
      <c r="A118" t="inlineStr">
        <is>
          <t>CTR-011</t>
        </is>
      </c>
      <c r="B118" t="inlineStr">
        <is>
          <t>CTR-011_PurchaseAgreement_Atlas_Materials.pdf</t>
        </is>
      </c>
      <c r="C118" t="inlineStr">
        <is>
          <t>GoverningLaw</t>
        </is>
      </c>
      <c r="D118" t="inlineStr">
        <is>
          <t>State of Michigan</t>
        </is>
      </c>
      <c r="E118" t="n">
        <v>1</v>
      </c>
      <c r="F118" t="n">
        <v>1</v>
      </c>
      <c r="G118" t="inlineStr">
        <is>
          <t>laws of the State of Michigan</t>
        </is>
      </c>
      <c r="H118" t="inlineStr"/>
      <c r="I118" t="inlineStr"/>
      <c r="O118">
        <f>IF(J118&lt;&gt;"",J118,D118)</f>
        <v/>
      </c>
    </row>
    <row r="119">
      <c r="A119" t="inlineStr">
        <is>
          <t>CTR-011</t>
        </is>
      </c>
      <c r="B119" t="inlineStr">
        <is>
          <t>CTR-011_PurchaseAgreement_Atlas_Materials.pdf</t>
        </is>
      </c>
      <c r="C119" t="inlineStr">
        <is>
          <t>PaymentTerms</t>
        </is>
      </c>
      <c r="D119" t="inlineStr">
        <is>
          <t>Net 45</t>
        </is>
      </c>
      <c r="E119" t="n">
        <v>1</v>
      </c>
      <c r="F119" t="n">
        <v>1</v>
      </c>
      <c r="G119" t="inlineStr">
        <is>
          <t>Payment Terms: Net 45</t>
        </is>
      </c>
      <c r="H119" t="inlineStr"/>
      <c r="I119" t="inlineStr"/>
      <c r="O119">
        <f>IF(J119&lt;&gt;"",J119,D119)</f>
        <v/>
      </c>
    </row>
    <row r="120">
      <c r="A120" t="inlineStr">
        <is>
          <t>CTR-011</t>
        </is>
      </c>
      <c r="B120" t="inlineStr">
        <is>
          <t>CTR-011_PurchaseAgreement_Atlas_Materials.pdf</t>
        </is>
      </c>
      <c r="C120" t="inlineStr">
        <is>
          <t>AutoRenewal</t>
        </is>
      </c>
      <c r="E120" t="n">
        <v>0</v>
      </c>
      <c r="H120" t="inlineStr"/>
      <c r="I120" t="inlineStr"/>
      <c r="O120">
        <f>IF(J120&lt;&gt;"",J120,D120)</f>
        <v/>
      </c>
    </row>
    <row r="121">
      <c r="A121" t="inlineStr">
        <is>
          <t>CTR-011</t>
        </is>
      </c>
      <c r="B121" t="inlineStr">
        <is>
          <t>CTR-011_PurchaseAgreement_Atlas_Materials.pdf</t>
        </is>
      </c>
      <c r="C121" t="inlineStr">
        <is>
          <t>LiabilityCap</t>
        </is>
      </c>
      <c r="D121" t="inlineStr">
        <is>
          <t>Total fees paid or payable in the 12 months preceding the claim</t>
        </is>
      </c>
      <c r="E121" t="n">
        <v>0.95</v>
      </c>
      <c r="F121" t="n">
        <v>1</v>
      </c>
      <c r="G121" t="inlineStr">
        <is>
          <t>exceed the total fees paid or payable by Client to Supplier in the twelve (12) months preceding</t>
        </is>
      </c>
      <c r="H121" t="inlineStr"/>
      <c r="I121" t="inlineStr"/>
      <c r="O121">
        <f>IF(J121&lt;&gt;"",J121,D121)</f>
        <v/>
      </c>
    </row>
    <row r="122">
      <c r="A122" t="inlineStr">
        <is>
          <t>CTR-011</t>
        </is>
      </c>
      <c r="B122" t="inlineStr">
        <is>
          <t>CTR-011_PurchaseAgreement_Atlas_Materials.pdf</t>
        </is>
      </c>
      <c r="C122" t="inlineStr">
        <is>
          <t>TerminationClause</t>
        </is>
      </c>
      <c r="D122" t="inlineStr">
        <is>
          <t>Either party may terminate for any reason upon 30 days prior written notice</t>
        </is>
      </c>
      <c r="E122" t="n">
        <v>0.95</v>
      </c>
      <c r="F122" t="n">
        <v>1</v>
      </c>
      <c r="G122" t="inlineStr">
        <is>
          <t>terminate this Agreement for any reason upon thirty (30) days prior written notice</t>
        </is>
      </c>
      <c r="H122" t="inlineStr"/>
      <c r="I122" t="inlineStr"/>
      <c r="O122">
        <f>IF(J122&lt;&gt;"",J122,D122)</f>
        <v/>
      </c>
    </row>
    <row r="123">
      <c r="A123" t="inlineStr">
        <is>
          <t>CTR-012</t>
        </is>
      </c>
      <c r="B123" t="inlineStr">
        <is>
          <t>CTR-012_ServiceAgreement_Ironclad_Facilities.pdf</t>
        </is>
      </c>
      <c r="C123" t="inlineStr">
        <is>
          <t>Supplier</t>
        </is>
      </c>
      <c r="D123" t="inlineStr">
        <is>
          <t>Ironclad Facilities Management</t>
        </is>
      </c>
      <c r="E123" t="n">
        <v>1</v>
      </c>
      <c r="F123" t="n">
        <v>1</v>
      </c>
      <c r="G123" t="inlineStr">
        <is>
          <t>Ironclad Facilities Management ("Supplier")</t>
        </is>
      </c>
      <c r="H123" t="inlineStr"/>
      <c r="I123" t="inlineStr"/>
      <c r="O123">
        <f>IF(J123&lt;&gt;"",J123,D123)</f>
        <v/>
      </c>
    </row>
    <row r="124">
      <c r="A124" t="inlineStr">
        <is>
          <t>CTR-012</t>
        </is>
      </c>
      <c r="B124" t="inlineStr">
        <is>
          <t>CTR-012_ServiceAgreement_Ironclad_Facilities.pdf</t>
        </is>
      </c>
      <c r="C124" t="inlineStr">
        <is>
          <t>ContractType</t>
        </is>
      </c>
      <c r="D124" t="inlineStr">
        <is>
          <t>Service Agreement</t>
        </is>
      </c>
      <c r="E124" t="n">
        <v>1</v>
      </c>
      <c r="F124" t="n">
        <v>1</v>
      </c>
      <c r="G124" t="inlineStr">
        <is>
          <t>SERVICE AGREEMENT</t>
        </is>
      </c>
      <c r="H124" t="inlineStr"/>
      <c r="I124" t="inlineStr"/>
      <c r="O124">
        <f>IF(J124&lt;&gt;"",J124,D124)</f>
        <v/>
      </c>
    </row>
    <row r="125">
      <c r="A125" t="inlineStr">
        <is>
          <t>CTR-012</t>
        </is>
      </c>
      <c r="B125" t="inlineStr">
        <is>
          <t>CTR-012_ServiceAgreement_Ironclad_Facilities.pdf</t>
        </is>
      </c>
      <c r="C125" t="inlineStr">
        <is>
          <t>EffectiveDate</t>
        </is>
      </c>
      <c r="D125" t="inlineStr">
        <is>
          <t>2022-01-01</t>
        </is>
      </c>
      <c r="E125" t="n">
        <v>1</v>
      </c>
      <c r="F125" t="n">
        <v>1</v>
      </c>
      <c r="G125" t="inlineStr">
        <is>
          <t>entered into as of 2022-01-01 ("Effective Date")</t>
        </is>
      </c>
      <c r="H125" t="inlineStr"/>
      <c r="I125" t="inlineStr"/>
      <c r="O125">
        <f>IF(J125&lt;&gt;"",J125,D125)</f>
        <v/>
      </c>
    </row>
    <row r="126">
      <c r="A126" t="inlineStr">
        <is>
          <t>CTR-012</t>
        </is>
      </c>
      <c r="B126" t="inlineStr">
        <is>
          <t>CTR-012_ServiceAgreement_Ironclad_Facilities.pdf</t>
        </is>
      </c>
      <c r="C126" t="inlineStr">
        <is>
          <t>ExpirationDate</t>
        </is>
      </c>
      <c r="D126" t="inlineStr">
        <is>
          <t>2024-12-31</t>
        </is>
      </c>
      <c r="E126" t="n">
        <v>1</v>
      </c>
      <c r="F126" t="n">
        <v>1</v>
      </c>
      <c r="G126" t="inlineStr">
        <is>
          <t>Expiration Date: 2024-12-31</t>
        </is>
      </c>
      <c r="H126" t="inlineStr">
        <is>
          <t>High</t>
        </is>
      </c>
      <c r="I126" t="inlineStr">
        <is>
          <t>Contract appears expired -- verify active status before use</t>
        </is>
      </c>
      <c r="O126">
        <f>IF(J126&lt;&gt;"",J126,D126)</f>
        <v/>
      </c>
    </row>
    <row r="127">
      <c r="A127" t="inlineStr">
        <is>
          <t>CTR-012</t>
        </is>
      </c>
      <c r="B127" t="inlineStr">
        <is>
          <t>CTR-012_ServiceAgreement_Ironclad_Facilities.pdf</t>
        </is>
      </c>
      <c r="C127" t="inlineStr">
        <is>
          <t>ContractValue</t>
        </is>
      </c>
      <c r="D127" t="inlineStr">
        <is>
          <t>$430,000</t>
        </is>
      </c>
      <c r="E127" t="n">
        <v>1</v>
      </c>
      <c r="F127" t="n">
        <v>1</v>
      </c>
      <c r="G127" t="inlineStr">
        <is>
          <t>Total Contract Value: $430,000</t>
        </is>
      </c>
      <c r="H127" t="inlineStr"/>
      <c r="I127" t="inlineStr"/>
      <c r="O127">
        <f>IF(J127&lt;&gt;"",J127,D127)</f>
        <v/>
      </c>
    </row>
    <row r="128">
      <c r="A128" t="inlineStr">
        <is>
          <t>CTR-012</t>
        </is>
      </c>
      <c r="B128" t="inlineStr">
        <is>
          <t>CTR-012_ServiceAgreement_Ironclad_Facilities.pdf</t>
        </is>
      </c>
      <c r="C128" t="inlineStr">
        <is>
          <t>BusinessEntity</t>
        </is>
      </c>
      <c r="D128" t="inlineStr">
        <is>
          <t>Braden Corp - Facilities</t>
        </is>
      </c>
      <c r="E128" t="n">
        <v>1</v>
      </c>
      <c r="F128" t="n">
        <v>1</v>
      </c>
      <c r="G128" t="inlineStr">
        <is>
          <t>Braden Corp - Facilities ("Client")</t>
        </is>
      </c>
      <c r="H128" t="inlineStr"/>
      <c r="I128" t="inlineStr"/>
      <c r="O128">
        <f>IF(J128&lt;&gt;"",J128,D128)</f>
        <v/>
      </c>
    </row>
    <row r="129">
      <c r="A129" t="inlineStr">
        <is>
          <t>CTR-012</t>
        </is>
      </c>
      <c r="B129" t="inlineStr">
        <is>
          <t>CTR-012_ServiceAgreement_Ironclad_Facilities.pdf</t>
        </is>
      </c>
      <c r="C129" t="inlineStr">
        <is>
          <t>GoverningLaw</t>
        </is>
      </c>
      <c r="D129" t="inlineStr">
        <is>
          <t>Florida</t>
        </is>
      </c>
      <c r="E129" t="n">
        <v>1</v>
      </c>
      <c r="F129" t="n">
        <v>1</v>
      </c>
      <c r="G129" t="inlineStr">
        <is>
          <t>laws of the State of Florida</t>
        </is>
      </c>
      <c r="H129" t="inlineStr"/>
      <c r="I129" t="inlineStr"/>
      <c r="O129">
        <f>IF(J129&lt;&gt;"",J129,D129)</f>
        <v/>
      </c>
    </row>
    <row r="130">
      <c r="A130" t="inlineStr">
        <is>
          <t>CTR-012</t>
        </is>
      </c>
      <c r="B130" t="inlineStr">
        <is>
          <t>CTR-012_ServiceAgreement_Ironclad_Facilities.pdf</t>
        </is>
      </c>
      <c r="C130" t="inlineStr">
        <is>
          <t>PaymentTerms</t>
        </is>
      </c>
      <c r="D130" t="inlineStr">
        <is>
          <t>Net 30</t>
        </is>
      </c>
      <c r="E130" t="n">
        <v>1</v>
      </c>
      <c r="F130" t="n">
        <v>1</v>
      </c>
      <c r="G130" t="inlineStr">
        <is>
          <t>Payment Terms: Net 30</t>
        </is>
      </c>
      <c r="H130" t="inlineStr"/>
      <c r="I130" t="inlineStr"/>
      <c r="O130">
        <f>IF(J130&lt;&gt;"",J130,D130)</f>
        <v/>
      </c>
    </row>
    <row r="131">
      <c r="A131" t="inlineStr">
        <is>
          <t>CTR-012</t>
        </is>
      </c>
      <c r="B131" t="inlineStr">
        <is>
          <t>CTR-012_ServiceAgreement_Ironclad_Facilities.pdf</t>
        </is>
      </c>
      <c r="C131" t="inlineStr">
        <is>
          <t>AutoRenewal</t>
        </is>
      </c>
      <c r="E131" t="n">
        <v>0</v>
      </c>
      <c r="H131" t="inlineStr"/>
      <c r="I131" t="inlineStr"/>
      <c r="O131">
        <f>IF(J131&lt;&gt;"",J131,D131)</f>
        <v/>
      </c>
    </row>
    <row r="132">
      <c r="A132" t="inlineStr">
        <is>
          <t>CTR-012</t>
        </is>
      </c>
      <c r="B132" t="inlineStr">
        <is>
          <t>CTR-012_ServiceAgreement_Ironclad_Facilities.pdf</t>
        </is>
      </c>
      <c r="C132" t="inlineStr">
        <is>
          <t>LiabilityCap</t>
        </is>
      </c>
      <c r="D132" t="inlineStr">
        <is>
          <t>Total fees paid or payable by Client to Supplier in the twelve (12) months preceding the claim</t>
        </is>
      </c>
      <c r="E132" t="n">
        <v>0.95</v>
      </c>
      <c r="F132" t="n">
        <v>1</v>
      </c>
      <c r="G132" t="inlineStr">
        <is>
          <t>exceed the total fees paid or payable by Client to Supplier in the twelve (12) months</t>
        </is>
      </c>
      <c r="H132" t="inlineStr"/>
      <c r="I132" t="inlineStr"/>
      <c r="O132">
        <f>IF(J132&lt;&gt;"",J132,D132)</f>
        <v/>
      </c>
    </row>
    <row r="133">
      <c r="A133" t="inlineStr">
        <is>
          <t>CTR-012</t>
        </is>
      </c>
      <c r="B133" t="inlineStr">
        <is>
          <t>CTR-012_ServiceAgreement_Ironclad_Facilities.pdf</t>
        </is>
      </c>
      <c r="C133" t="inlineStr">
        <is>
          <t>TerminationClause</t>
        </is>
      </c>
      <c r="D133" t="inlineStr">
        <is>
          <t>Either party may terminate for any reason upon thirty (30) days prior written notice</t>
        </is>
      </c>
      <c r="E133" t="n">
        <v>1</v>
      </c>
      <c r="F133" t="n">
        <v>1</v>
      </c>
      <c r="G133" t="inlineStr">
        <is>
          <t>terminate this Agreement for any reason upon thirty (30) days prior written notice</t>
        </is>
      </c>
      <c r="H133" t="inlineStr"/>
      <c r="I133" t="inlineStr"/>
      <c r="O133">
        <f>IF(J133&lt;&gt;"",J133,D133)</f>
        <v/>
      </c>
    </row>
    <row r="134">
      <c r="A134" t="inlineStr">
        <is>
          <t>CTR-013</t>
        </is>
      </c>
      <c r="B134" t="inlineStr">
        <is>
          <t>CTR-013_MSA_Strata_Cloud.pdf</t>
        </is>
      </c>
      <c r="C134" t="inlineStr">
        <is>
          <t>Supplier</t>
        </is>
      </c>
      <c r="D134" t="inlineStr">
        <is>
          <t>Strata Cloud Solutions</t>
        </is>
      </c>
      <c r="E134" t="n">
        <v>0.98</v>
      </c>
      <c r="F134" t="n">
        <v>1</v>
      </c>
      <c r="G134" t="inlineStr">
        <is>
          <t>Strata Cloud Solutions ("Supplier")</t>
        </is>
      </c>
      <c r="H134" t="inlineStr"/>
      <c r="I134" t="inlineStr"/>
      <c r="O134">
        <f>IF(J134&lt;&gt;"",J134,D134)</f>
        <v/>
      </c>
    </row>
    <row r="135">
      <c r="A135" t="inlineStr">
        <is>
          <t>CTR-013</t>
        </is>
      </c>
      <c r="B135" t="inlineStr">
        <is>
          <t>CTR-013_MSA_Strata_Cloud.pdf</t>
        </is>
      </c>
      <c r="C135" t="inlineStr">
        <is>
          <t>ContractType</t>
        </is>
      </c>
      <c r="D135" t="inlineStr">
        <is>
          <t>Master Service Agreement</t>
        </is>
      </c>
      <c r="E135" t="n">
        <v>0.98</v>
      </c>
      <c r="F135" t="n">
        <v>1</v>
      </c>
      <c r="G135" t="inlineStr">
        <is>
          <t>MASTER SERVICE AGREEMENT</t>
        </is>
      </c>
      <c r="H135" t="inlineStr"/>
      <c r="I135" t="inlineStr"/>
      <c r="O135">
        <f>IF(J135&lt;&gt;"",J135,D135)</f>
        <v/>
      </c>
    </row>
    <row r="136">
      <c r="A136" t="inlineStr">
        <is>
          <t>CTR-013</t>
        </is>
      </c>
      <c r="B136" t="inlineStr">
        <is>
          <t>CTR-013_MSA_Strata_Cloud.pdf</t>
        </is>
      </c>
      <c r="C136" t="inlineStr">
        <is>
          <t>EffectiveDate</t>
        </is>
      </c>
      <c r="D136" t="inlineStr">
        <is>
          <t>2023-03-01</t>
        </is>
      </c>
      <c r="E136" t="n">
        <v>0.98</v>
      </c>
      <c r="F136" t="n">
        <v>1</v>
      </c>
      <c r="G136" t="inlineStr">
        <is>
          <t>entered into as of 2023-03-01 ("Effective Date")</t>
        </is>
      </c>
      <c r="H136" t="inlineStr"/>
      <c r="I136" t="inlineStr"/>
      <c r="O136">
        <f>IF(J136&lt;&gt;"",J136,D136)</f>
        <v/>
      </c>
    </row>
    <row r="137">
      <c r="A137" t="inlineStr">
        <is>
          <t>CTR-013</t>
        </is>
      </c>
      <c r="B137" t="inlineStr">
        <is>
          <t>CTR-013_MSA_Strata_Cloud.pdf</t>
        </is>
      </c>
      <c r="C137" t="inlineStr">
        <is>
          <t>ExpirationDate</t>
        </is>
      </c>
      <c r="D137" t="inlineStr">
        <is>
          <t>2026-02-28</t>
        </is>
      </c>
      <c r="E137" t="n">
        <v>0.98</v>
      </c>
      <c r="F137" t="n">
        <v>1</v>
      </c>
      <c r="G137" t="inlineStr">
        <is>
          <t>Expiration Date: 2026-02-28</t>
        </is>
      </c>
      <c r="H137" t="inlineStr">
        <is>
          <t>High</t>
        </is>
      </c>
      <c r="I137" t="inlineStr">
        <is>
          <t>Contract appears expired -- verify active status before use</t>
        </is>
      </c>
      <c r="O137">
        <f>IF(J137&lt;&gt;"",J137,D137)</f>
        <v/>
      </c>
    </row>
    <row r="138">
      <c r="A138" t="inlineStr">
        <is>
          <t>CTR-013</t>
        </is>
      </c>
      <c r="B138" t="inlineStr">
        <is>
          <t>CTR-013_MSA_Strata_Cloud.pdf</t>
        </is>
      </c>
      <c r="C138" t="inlineStr">
        <is>
          <t>ContractValue</t>
        </is>
      </c>
      <c r="D138" t="inlineStr">
        <is>
          <t>$3,600,000</t>
        </is>
      </c>
      <c r="E138" t="n">
        <v>0.98</v>
      </c>
      <c r="F138" t="n">
        <v>1</v>
      </c>
      <c r="G138" t="inlineStr">
        <is>
          <t>Total Contract Value: $3,600,000</t>
        </is>
      </c>
      <c r="H138" t="inlineStr"/>
      <c r="I138" t="inlineStr"/>
      <c r="O138">
        <f>IF(J138&lt;&gt;"",J138,D138)</f>
        <v/>
      </c>
    </row>
    <row r="139">
      <c r="A139" t="inlineStr">
        <is>
          <t>CTR-013</t>
        </is>
      </c>
      <c r="B139" t="inlineStr">
        <is>
          <t>CTR-013_MSA_Strata_Cloud.pdf</t>
        </is>
      </c>
      <c r="C139" t="inlineStr">
        <is>
          <t>BusinessEntity</t>
        </is>
      </c>
      <c r="D139" t="inlineStr">
        <is>
          <t>Braden Corp - IT Division</t>
        </is>
      </c>
      <c r="E139" t="n">
        <v>0.98</v>
      </c>
      <c r="F139" t="n">
        <v>1</v>
      </c>
      <c r="G139" t="inlineStr">
        <is>
          <t>Braden Corp - IT Division ("Client")</t>
        </is>
      </c>
      <c r="H139" t="inlineStr"/>
      <c r="I139" t="inlineStr"/>
      <c r="O139">
        <f>IF(J139&lt;&gt;"",J139,D139)</f>
        <v/>
      </c>
    </row>
    <row r="140">
      <c r="A140" t="inlineStr">
        <is>
          <t>CTR-013</t>
        </is>
      </c>
      <c r="B140" t="inlineStr">
        <is>
          <t>CTR-013_MSA_Strata_Cloud.pdf</t>
        </is>
      </c>
      <c r="C140" t="inlineStr">
        <is>
          <t>GoverningLaw</t>
        </is>
      </c>
      <c r="D140" t="inlineStr">
        <is>
          <t>State of Virginia</t>
        </is>
      </c>
      <c r="E140" t="n">
        <v>0.98</v>
      </c>
      <c r="F140" t="n">
        <v>1</v>
      </c>
      <c r="G140" t="inlineStr">
        <is>
          <t>laws of the State of Virginia</t>
        </is>
      </c>
      <c r="H140" t="inlineStr"/>
      <c r="I140" t="inlineStr"/>
      <c r="O140">
        <f>IF(J140&lt;&gt;"",J140,D140)</f>
        <v/>
      </c>
    </row>
    <row r="141">
      <c r="A141" t="inlineStr">
        <is>
          <t>CTR-013</t>
        </is>
      </c>
      <c r="B141" t="inlineStr">
        <is>
          <t>CTR-013_MSA_Strata_Cloud.pdf</t>
        </is>
      </c>
      <c r="C141" t="inlineStr">
        <is>
          <t>PaymentTerms</t>
        </is>
      </c>
      <c r="D141" t="inlineStr">
        <is>
          <t>Net 30</t>
        </is>
      </c>
      <c r="E141" t="n">
        <v>0.98</v>
      </c>
      <c r="F141" t="n">
        <v>1</v>
      </c>
      <c r="G141" t="inlineStr">
        <is>
          <t>Payment Terms: Net 30</t>
        </is>
      </c>
      <c r="H141" t="inlineStr"/>
      <c r="I141" t="inlineStr"/>
      <c r="O141">
        <f>IF(J141&lt;&gt;"",J141,D141)</f>
        <v/>
      </c>
    </row>
    <row r="142">
      <c r="A142" t="inlineStr">
        <is>
          <t>CTR-013</t>
        </is>
      </c>
      <c r="B142" t="inlineStr">
        <is>
          <t>CTR-013_MSA_Strata_Cloud.pdf</t>
        </is>
      </c>
      <c r="C142" t="inlineStr">
        <is>
          <t>AutoRenewal</t>
        </is>
      </c>
      <c r="D142" t="inlineStr">
        <is>
          <t>Successive one-year terms</t>
        </is>
      </c>
      <c r="E142" t="n">
        <v>0.98</v>
      </c>
      <c r="F142" t="n">
        <v>1</v>
      </c>
      <c r="G142" t="inlineStr">
        <is>
          <t>automatically renew for successive one-year terms</t>
        </is>
      </c>
      <c r="H142" t="inlineStr">
        <is>
          <t>Medium</t>
        </is>
      </c>
      <c r="I142" t="inlineStr">
        <is>
          <t>Auto-renewal clause detected -- review opt-out window</t>
        </is>
      </c>
      <c r="O142">
        <f>IF(J142&lt;&gt;"",J142,D142)</f>
        <v/>
      </c>
    </row>
    <row r="143">
      <c r="A143" t="inlineStr">
        <is>
          <t>CTR-013</t>
        </is>
      </c>
      <c r="B143" t="inlineStr">
        <is>
          <t>CTR-013_MSA_Strata_Cloud.pdf</t>
        </is>
      </c>
      <c r="C143" t="inlineStr">
        <is>
          <t>LiabilityCap</t>
        </is>
      </c>
      <c r="D143" t="inlineStr">
        <is>
          <t>Total fees paid or payable by Client to Supplier in the twelve (12) months preceding the claim</t>
        </is>
      </c>
      <c r="E143" t="n">
        <v>0.95</v>
      </c>
      <c r="F143" t="n">
        <v>1</v>
      </c>
      <c r="G143" t="inlineStr">
        <is>
          <t>exceed the total fees paid or payable by Client to Supplier in the twelve (12) months</t>
        </is>
      </c>
      <c r="H143" t="inlineStr"/>
      <c r="I143" t="inlineStr"/>
      <c r="O143">
        <f>IF(J143&lt;&gt;"",J143,D143)</f>
        <v/>
      </c>
    </row>
    <row r="144">
      <c r="A144" t="inlineStr">
        <is>
          <t>CTR-013</t>
        </is>
      </c>
      <c r="B144" t="inlineStr">
        <is>
          <t>CTR-013_MSA_Strata_Cloud.pdf</t>
        </is>
      </c>
      <c r="C144" t="inlineStr">
        <is>
          <t>TerminationClause</t>
        </is>
      </c>
      <c r="D144" t="inlineStr">
        <is>
          <t>Thirty (30) days prior written notice for convenience</t>
        </is>
      </c>
      <c r="E144" t="n">
        <v>0.95</v>
      </c>
      <c r="F144" t="n">
        <v>1</v>
      </c>
      <c r="G144" t="inlineStr">
        <is>
          <t>terminate this Agreement for any reason upon thirty (30) days prior written notice</t>
        </is>
      </c>
      <c r="H144" t="inlineStr"/>
      <c r="I144" t="inlineStr"/>
      <c r="O144">
        <f>IF(J144&lt;&gt;"",J144,D144)</f>
        <v/>
      </c>
    </row>
    <row r="145">
      <c r="A145" t="inlineStr">
        <is>
          <t>CTR-014</t>
        </is>
      </c>
      <c r="B145" t="inlineStr">
        <is>
          <t>CTR-014_SOW_Nomad_Staffing.docx</t>
        </is>
      </c>
      <c r="C145" t="inlineStr">
        <is>
          <t>Supplier</t>
        </is>
      </c>
      <c r="D145" t="inlineStr">
        <is>
          <t>Nomad Staffing Solutions</t>
        </is>
      </c>
      <c r="E145" t="n">
        <v>1</v>
      </c>
      <c r="F145" t="n">
        <v>1</v>
      </c>
      <c r="G145" t="inlineStr">
        <is>
          <t>Supplier: Nomad Staffing Solutions</t>
        </is>
      </c>
      <c r="H145" t="inlineStr"/>
      <c r="I145" t="inlineStr"/>
      <c r="O145">
        <f>IF(J145&lt;&gt;"",J145,D145)</f>
        <v/>
      </c>
    </row>
    <row r="146">
      <c r="A146" t="inlineStr">
        <is>
          <t>CTR-014</t>
        </is>
      </c>
      <c r="B146" t="inlineStr">
        <is>
          <t>CTR-014_SOW_Nomad_Staffing.docx</t>
        </is>
      </c>
      <c r="C146" t="inlineStr">
        <is>
          <t>ContractType</t>
        </is>
      </c>
      <c r="D146" t="inlineStr">
        <is>
          <t>Statement of Work</t>
        </is>
      </c>
      <c r="E146" t="n">
        <v>1</v>
      </c>
      <c r="F146" t="n">
        <v>1</v>
      </c>
      <c r="G146" t="inlineStr">
        <is>
          <t>This Statement of Work ("SOW")</t>
        </is>
      </c>
      <c r="H146" t="inlineStr"/>
      <c r="I146" t="inlineStr"/>
      <c r="O146">
        <f>IF(J146&lt;&gt;"",J146,D146)</f>
        <v/>
      </c>
    </row>
    <row r="147">
      <c r="A147" t="inlineStr">
        <is>
          <t>CTR-014</t>
        </is>
      </c>
      <c r="B147" t="inlineStr">
        <is>
          <t>CTR-014_SOW_Nomad_Staffing.docx</t>
        </is>
      </c>
      <c r="C147" t="inlineStr">
        <is>
          <t>EffectiveDate</t>
        </is>
      </c>
      <c r="D147" t="inlineStr">
        <is>
          <t>2024-08-01</t>
        </is>
      </c>
      <c r="E147" t="n">
        <v>1</v>
      </c>
      <c r="F147" t="n">
        <v>1</v>
      </c>
      <c r="G147" t="inlineStr">
        <is>
          <t>Start Date: 2024-08-01</t>
        </is>
      </c>
      <c r="H147" t="inlineStr"/>
      <c r="I147" t="inlineStr"/>
      <c r="O147">
        <f>IF(J147&lt;&gt;"",J147,D147)</f>
        <v/>
      </c>
    </row>
    <row r="148">
      <c r="A148" t="inlineStr">
        <is>
          <t>CTR-014</t>
        </is>
      </c>
      <c r="B148" t="inlineStr">
        <is>
          <t>CTR-014_SOW_Nomad_Staffing.docx</t>
        </is>
      </c>
      <c r="C148" t="inlineStr">
        <is>
          <t>ExpirationDate</t>
        </is>
      </c>
      <c r="D148" t="inlineStr">
        <is>
          <t>TBD</t>
        </is>
      </c>
      <c r="E148" t="n">
        <v>0.9</v>
      </c>
      <c r="F148" t="n">
        <v>1</v>
      </c>
      <c r="G148" t="inlineStr">
        <is>
          <t>End Date: TBD — to be confirmed upon project scoping</t>
        </is>
      </c>
      <c r="H148" t="inlineStr">
        <is>
          <t>High</t>
        </is>
      </c>
      <c r="I148" t="inlineStr">
        <is>
          <t>No expiration date found -- contract may be open-ended</t>
        </is>
      </c>
      <c r="O148">
        <f>IF(J148&lt;&gt;"",J148,D148)</f>
        <v/>
      </c>
    </row>
    <row r="149">
      <c r="A149" t="inlineStr">
        <is>
          <t>CTR-014</t>
        </is>
      </c>
      <c r="B149" t="inlineStr">
        <is>
          <t>CTR-014_SOW_Nomad_Staffing.docx</t>
        </is>
      </c>
      <c r="C149" t="inlineStr">
        <is>
          <t>ContractValue</t>
        </is>
      </c>
      <c r="D149" t="inlineStr">
        <is>
          <t>$210,000</t>
        </is>
      </c>
      <c r="E149" t="n">
        <v>0.95</v>
      </c>
      <c r="F149" t="n">
        <v>1</v>
      </c>
      <c r="G149" t="inlineStr">
        <is>
          <t>Not-to-Exceed Amount: $210,000</t>
        </is>
      </c>
      <c r="H149" t="inlineStr"/>
      <c r="I149" t="inlineStr"/>
      <c r="O149">
        <f>IF(J149&lt;&gt;"",J149,D149)</f>
        <v/>
      </c>
    </row>
    <row r="150">
      <c r="A150" t="inlineStr">
        <is>
          <t>CTR-014</t>
        </is>
      </c>
      <c r="B150" t="inlineStr">
        <is>
          <t>CTR-014_SOW_Nomad_Staffing.docx</t>
        </is>
      </c>
      <c r="C150" t="inlineStr">
        <is>
          <t>BusinessEntity</t>
        </is>
      </c>
      <c r="D150" t="inlineStr">
        <is>
          <t>Braden Corp - Operations</t>
        </is>
      </c>
      <c r="E150" t="n">
        <v>1</v>
      </c>
      <c r="F150" t="n">
        <v>1</v>
      </c>
      <c r="G150" t="inlineStr">
        <is>
          <t>Client: Braden Corp - Operations</t>
        </is>
      </c>
      <c r="H150" t="inlineStr"/>
      <c r="I150" t="inlineStr"/>
      <c r="O150">
        <f>IF(J150&lt;&gt;"",J150,D150)</f>
        <v/>
      </c>
    </row>
    <row r="151">
      <c r="A151" t="inlineStr">
        <is>
          <t>CTR-014</t>
        </is>
      </c>
      <c r="B151" t="inlineStr">
        <is>
          <t>CTR-014_SOW_Nomad_Staffing.docx</t>
        </is>
      </c>
      <c r="C151" t="inlineStr">
        <is>
          <t>GoverningLaw</t>
        </is>
      </c>
      <c r="D151" t="inlineStr">
        <is>
          <t>State of Arizona</t>
        </is>
      </c>
      <c r="E151" t="n">
        <v>1</v>
      </c>
      <c r="F151" t="n">
        <v>1</v>
      </c>
      <c r="G151" t="inlineStr">
        <is>
          <t>This SOW is governed by the laws of the State of Arizona.</t>
        </is>
      </c>
      <c r="H151" t="inlineStr"/>
      <c r="I151" t="inlineStr"/>
      <c r="O151">
        <f>IF(J151&lt;&gt;"",J151,D151)</f>
        <v/>
      </c>
    </row>
    <row r="152">
      <c r="A152" t="inlineStr">
        <is>
          <t>CTR-014</t>
        </is>
      </c>
      <c r="B152" t="inlineStr">
        <is>
          <t>CTR-014_SOW_Nomad_Staffing.docx</t>
        </is>
      </c>
      <c r="C152" t="inlineStr">
        <is>
          <t>PaymentTerms</t>
        </is>
      </c>
      <c r="D152" t="inlineStr">
        <is>
          <t>Net 30</t>
        </is>
      </c>
      <c r="E152" t="n">
        <v>1</v>
      </c>
      <c r="F152" t="n">
        <v>1</v>
      </c>
      <c r="G152" t="inlineStr">
        <is>
          <t>Payment Terms: Net 30</t>
        </is>
      </c>
      <c r="H152" t="inlineStr"/>
      <c r="I152" t="inlineStr"/>
      <c r="O152">
        <f>IF(J152&lt;&gt;"",J152,D152)</f>
        <v/>
      </c>
    </row>
    <row r="153">
      <c r="A153" t="inlineStr">
        <is>
          <t>CTR-014</t>
        </is>
      </c>
      <c r="B153" t="inlineStr">
        <is>
          <t>CTR-014_SOW_Nomad_Staffing.docx</t>
        </is>
      </c>
      <c r="C153" t="inlineStr">
        <is>
          <t>AutoRenewal</t>
        </is>
      </c>
      <c r="E153" t="n">
        <v>0</v>
      </c>
      <c r="H153" t="inlineStr"/>
      <c r="I153" t="inlineStr"/>
      <c r="O153">
        <f>IF(J153&lt;&gt;"",J153,D153)</f>
        <v/>
      </c>
    </row>
    <row r="154">
      <c r="A154" t="inlineStr">
        <is>
          <t>CTR-014</t>
        </is>
      </c>
      <c r="B154" t="inlineStr">
        <is>
          <t>CTR-014_SOW_Nomad_Staffing.docx</t>
        </is>
      </c>
      <c r="C154" t="inlineStr">
        <is>
          <t>LiabilityCap</t>
        </is>
      </c>
      <c r="E154" t="n">
        <v>0</v>
      </c>
      <c r="H154" t="inlineStr">
        <is>
          <t>High</t>
        </is>
      </c>
      <c r="I154" t="inlineStr">
        <is>
          <t>No liability cap clause found -- legal review recommended</t>
        </is>
      </c>
      <c r="O154">
        <f>IF(J154&lt;&gt;"",J154,D154)</f>
        <v/>
      </c>
    </row>
    <row r="155">
      <c r="A155" t="inlineStr">
        <is>
          <t>CTR-014</t>
        </is>
      </c>
      <c r="B155" t="inlineStr">
        <is>
          <t>CTR-014_SOW_Nomad_Staffing.docx</t>
        </is>
      </c>
      <c r="C155" t="inlineStr">
        <is>
          <t>TerminationClause</t>
        </is>
      </c>
      <c r="E155" t="n">
        <v>0</v>
      </c>
      <c r="H155" t="inlineStr"/>
      <c r="I155" t="inlineStr"/>
      <c r="O155">
        <f>IF(J155&lt;&gt;"",J155,D155)</f>
        <v/>
      </c>
    </row>
    <row r="156">
      <c r="A156" t="inlineStr">
        <is>
          <t>CTR-015</t>
        </is>
      </c>
      <c r="B156" t="inlineStr">
        <is>
          <t>CTR-015_Agreement_OldScan_Legacy.pdf</t>
        </is>
      </c>
      <c r="C156" t="inlineStr">
        <is>
          <t>Supplier</t>
        </is>
      </c>
      <c r="D156" t="inlineStr">
        <is>
          <t>Legacy Maintenance Corp</t>
        </is>
      </c>
      <c r="E156" t="n">
        <v>0.98</v>
      </c>
      <c r="F156" t="n">
        <v>1</v>
      </c>
      <c r="G156" t="inlineStr">
        <is>
          <t>Legacy Maintenance Corp ("Supplier")</t>
        </is>
      </c>
      <c r="H156" t="inlineStr"/>
      <c r="I156" t="inlineStr"/>
      <c r="O156">
        <f>IF(J156&lt;&gt;"",J156,D156)</f>
        <v/>
      </c>
    </row>
    <row r="157">
      <c r="A157" t="inlineStr">
        <is>
          <t>CTR-015</t>
        </is>
      </c>
      <c r="B157" t="inlineStr">
        <is>
          <t>CTR-015_Agreement_OldScan_Legacy.pdf</t>
        </is>
      </c>
      <c r="C157" t="inlineStr">
        <is>
          <t>ContractType</t>
        </is>
      </c>
      <c r="D157" t="inlineStr">
        <is>
          <t>Service Agreement</t>
        </is>
      </c>
      <c r="E157" t="n">
        <v>0.98</v>
      </c>
      <c r="F157" t="n">
        <v>1</v>
      </c>
      <c r="G157" t="inlineStr">
        <is>
          <t>This Service Agreement ("Agreement")</t>
        </is>
      </c>
      <c r="H157" t="inlineStr"/>
      <c r="I157" t="inlineStr"/>
      <c r="O157">
        <f>IF(J157&lt;&gt;"",J157,D157)</f>
        <v/>
      </c>
    </row>
    <row r="158">
      <c r="A158" t="inlineStr">
        <is>
          <t>CTR-015</t>
        </is>
      </c>
      <c r="B158" t="inlineStr">
        <is>
          <t>CTR-015_Agreement_OldScan_Legacy.pdf</t>
        </is>
      </c>
      <c r="C158" t="inlineStr">
        <is>
          <t>EffectiveDate</t>
        </is>
      </c>
      <c r="D158" t="inlineStr">
        <is>
          <t>2021-06-01</t>
        </is>
      </c>
      <c r="E158" t="n">
        <v>0.98</v>
      </c>
      <c r="F158" t="n">
        <v>1</v>
      </c>
      <c r="G158" t="inlineStr">
        <is>
          <t>entered into as of 2021-06-01 ("Effective Date")</t>
        </is>
      </c>
      <c r="H158" t="inlineStr"/>
      <c r="I158" t="inlineStr"/>
      <c r="O158">
        <f>IF(J158&lt;&gt;"",J158,D158)</f>
        <v/>
      </c>
    </row>
    <row r="159">
      <c r="A159" t="inlineStr">
        <is>
          <t>CTR-015</t>
        </is>
      </c>
      <c r="B159" t="inlineStr">
        <is>
          <t>CTR-015_Agreement_OldScan_Legacy.pdf</t>
        </is>
      </c>
      <c r="C159" t="inlineStr">
        <is>
          <t>ExpirationDate</t>
        </is>
      </c>
      <c r="D159" t="inlineStr">
        <is>
          <t>2025-05-31</t>
        </is>
      </c>
      <c r="E159" t="n">
        <v>0.98</v>
      </c>
      <c r="F159" t="n">
        <v>1</v>
      </c>
      <c r="G159" t="inlineStr">
        <is>
          <t>Expiration Date: 2025-05-31</t>
        </is>
      </c>
      <c r="H159" t="inlineStr">
        <is>
          <t>High</t>
        </is>
      </c>
      <c r="I159" t="inlineStr">
        <is>
          <t>Contract appears expired -- verify active status before use</t>
        </is>
      </c>
      <c r="O159">
        <f>IF(J159&lt;&gt;"",J159,D159)</f>
        <v/>
      </c>
    </row>
    <row r="160">
      <c r="A160" t="inlineStr">
        <is>
          <t>CTR-015</t>
        </is>
      </c>
      <c r="B160" t="inlineStr">
        <is>
          <t>CTR-015_Agreement_OldScan_Legacy.pdf</t>
        </is>
      </c>
      <c r="C160" t="inlineStr">
        <is>
          <t>ContractValue</t>
        </is>
      </c>
      <c r="D160" t="inlineStr">
        <is>
          <t>$75,000</t>
        </is>
      </c>
      <c r="E160" t="n">
        <v>0.98</v>
      </c>
      <c r="F160" t="n">
        <v>1</v>
      </c>
      <c r="G160" t="inlineStr">
        <is>
          <t>Total Contract Value: $75,000</t>
        </is>
      </c>
      <c r="H160" t="inlineStr"/>
      <c r="I160" t="inlineStr"/>
      <c r="O160">
        <f>IF(J160&lt;&gt;"",J160,D160)</f>
        <v/>
      </c>
    </row>
    <row r="161">
      <c r="A161" t="inlineStr">
        <is>
          <t>CTR-015</t>
        </is>
      </c>
      <c r="B161" t="inlineStr">
        <is>
          <t>CTR-015_Agreement_OldScan_Legacy.pdf</t>
        </is>
      </c>
      <c r="C161" t="inlineStr">
        <is>
          <t>BusinessEntity</t>
        </is>
      </c>
      <c r="D161" t="inlineStr">
        <is>
          <t>Braden Corp - Facilities</t>
        </is>
      </c>
      <c r="E161" t="n">
        <v>0.98</v>
      </c>
      <c r="F161" t="n">
        <v>1</v>
      </c>
      <c r="G161" t="inlineStr">
        <is>
          <t>Braden Corp - Facilities ("Client")</t>
        </is>
      </c>
      <c r="H161" t="inlineStr"/>
      <c r="I161" t="inlineStr"/>
      <c r="O161">
        <f>IF(J161&lt;&gt;"",J161,D161)</f>
        <v/>
      </c>
    </row>
    <row r="162">
      <c r="A162" t="inlineStr">
        <is>
          <t>CTR-015</t>
        </is>
      </c>
      <c r="B162" t="inlineStr">
        <is>
          <t>CTR-015_Agreement_OldScan_Legacy.pdf</t>
        </is>
      </c>
      <c r="C162" t="inlineStr">
        <is>
          <t>GoverningLaw</t>
        </is>
      </c>
      <c r="D162" t="inlineStr">
        <is>
          <t>Tennessee</t>
        </is>
      </c>
      <c r="E162" t="n">
        <v>0.98</v>
      </c>
      <c r="F162" t="n">
        <v>1</v>
      </c>
      <c r="G162" t="inlineStr">
        <is>
          <t>laws of the State of Tennessee</t>
        </is>
      </c>
      <c r="H162" t="inlineStr"/>
      <c r="I162" t="inlineStr"/>
      <c r="O162">
        <f>IF(J162&lt;&gt;"",J162,D162)</f>
        <v/>
      </c>
    </row>
    <row r="163">
      <c r="A163" t="inlineStr">
        <is>
          <t>CTR-015</t>
        </is>
      </c>
      <c r="B163" t="inlineStr">
        <is>
          <t>CTR-015_Agreement_OldScan_Legacy.pdf</t>
        </is>
      </c>
      <c r="C163" t="inlineStr">
        <is>
          <t>PaymentTerms</t>
        </is>
      </c>
      <c r="D163" t="inlineStr">
        <is>
          <t>Net 60</t>
        </is>
      </c>
      <c r="E163" t="n">
        <v>0.98</v>
      </c>
      <c r="F163" t="n">
        <v>1</v>
      </c>
      <c r="G163" t="inlineStr">
        <is>
          <t>Payment Terms: Net 60</t>
        </is>
      </c>
      <c r="H163" t="inlineStr"/>
      <c r="I163" t="inlineStr"/>
      <c r="O163">
        <f>IF(J163&lt;&gt;"",J163,D163)</f>
        <v/>
      </c>
    </row>
    <row r="164">
      <c r="A164" t="inlineStr">
        <is>
          <t>CTR-015</t>
        </is>
      </c>
      <c r="B164" t="inlineStr">
        <is>
          <t>CTR-015_Agreement_OldScan_Legacy.pdf</t>
        </is>
      </c>
      <c r="C164" t="inlineStr">
        <is>
          <t>AutoRenewal</t>
        </is>
      </c>
      <c r="E164" t="n">
        <v>0</v>
      </c>
      <c r="H164" t="inlineStr"/>
      <c r="I164" t="inlineStr"/>
      <c r="O164">
        <f>IF(J164&lt;&gt;"",J164,D164)</f>
        <v/>
      </c>
    </row>
    <row r="165">
      <c r="A165" t="inlineStr">
        <is>
          <t>CTR-015</t>
        </is>
      </c>
      <c r="B165" t="inlineStr">
        <is>
          <t>CTR-015_Agreement_OldScan_Legacy.pdf</t>
        </is>
      </c>
      <c r="C165" t="inlineStr">
        <is>
          <t>LiabilityCap</t>
        </is>
      </c>
      <c r="E165" t="n">
        <v>0</v>
      </c>
      <c r="H165" t="inlineStr">
        <is>
          <t>High</t>
        </is>
      </c>
      <c r="I165" t="inlineStr">
        <is>
          <t>No liability cap clause found -- legal review recommended</t>
        </is>
      </c>
      <c r="O165">
        <f>IF(J165&lt;&gt;"",J165,D165)</f>
        <v/>
      </c>
    </row>
    <row r="166">
      <c r="A166" t="inlineStr">
        <is>
          <t>CTR-015</t>
        </is>
      </c>
      <c r="B166" t="inlineStr">
        <is>
          <t>CTR-015_Agreement_OldScan_Legacy.pdf</t>
        </is>
      </c>
      <c r="C166" t="inlineStr">
        <is>
          <t>TerminationClause</t>
        </is>
      </c>
      <c r="E166" t="n">
        <v>0</v>
      </c>
      <c r="H166" t="inlineStr"/>
      <c r="I166" t="inlineStr"/>
      <c r="O166">
        <f>IF(J166&lt;&gt;"",J166,D166)</f>
        <v/>
      </c>
    </row>
  </sheetData>
  <conditionalFormatting sqref="A2:O166">
    <cfRule type="expression" priority="1" dxfId="0">
      <formula>$H2="High"</formula>
    </cfRule>
    <cfRule type="expression" priority="2" dxfId="1">
      <formula>OR($H2="Medium",AND($E2&lt;&gt;"", $E2&lt;0.6))</formula>
    </cfRule>
    <cfRule type="expression" priority="3" dxfId="2">
      <formula>$L2="YES"</formula>
    </cfRule>
  </conditionalFormatting>
  <dataValidations count="1">
    <dataValidation sqref="L2:L16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0" customWidth="1" min="3" max="3"/>
    <col width="26" customWidth="1" min="4" max="4"/>
    <col width="28" customWidth="1" min="5" max="5"/>
  </cols>
  <sheetData>
    <row r="1">
      <c r="A1" s="1" t="inlineStr">
        <is>
          <t>ContractID</t>
        </is>
      </c>
      <c r="B1" s="1" t="inlineStr">
        <is>
          <t>FileName</t>
        </is>
      </c>
      <c r="C1" s="1" t="inlineStr">
        <is>
          <t>Summary</t>
        </is>
      </c>
      <c r="D1" s="1" t="inlineStr">
        <is>
          <t>ContractType</t>
        </is>
      </c>
      <c r="E1" s="1" t="inlineStr">
        <is>
          <t>SummaryTimestamp</t>
        </is>
      </c>
    </row>
    <row r="2">
      <c r="A2" t="inlineStr">
        <is>
          <t>CTR-001</t>
        </is>
      </c>
      <c r="B2" t="inlineStr">
        <is>
          <t>CTR-001_MSA_Apex_Industrial.pdf</t>
        </is>
      </c>
      <c r="C2" t="inlineStr">
        <is>
          <t>Apex Industrial Services LLC and Braden Corp - North Division have entered into a three-year Master Service</t>
        </is>
      </c>
      <c r="D2" t="inlineStr">
        <is>
          <t>Master Service Agreement</t>
        </is>
      </c>
      <c r="E2" t="inlineStr">
        <is>
          <t>2026-04-21T11:15:12.256442</t>
        </is>
      </c>
    </row>
    <row r="3">
      <c r="A3" t="inlineStr">
        <is>
          <t>CTR-002</t>
        </is>
      </c>
      <c r="B3" t="inlineStr">
        <is>
          <t>CTR-002_MSA_Summit_Logistics.pdf</t>
        </is>
      </c>
      <c r="C3" t="inlineStr">
        <is>
          <t>This Master Service Agreement between Braden Corp - Supply Chain and Summit Logistics Partners Inc. establishes a framework</t>
        </is>
      </c>
      <c r="D3" t="inlineStr">
        <is>
          <t>Master Service Agreement</t>
        </is>
      </c>
      <c r="E3" t="inlineStr">
        <is>
          <t>2026-04-21T11:15:15.917821</t>
        </is>
      </c>
    </row>
    <row r="4">
      <c r="A4" t="inlineStr">
        <is>
          <t>CTR-003</t>
        </is>
      </c>
      <c r="B4" t="inlineStr">
        <is>
          <t>CTR-003_MSA_Meridian_Tech.pdf</t>
        </is>
      </c>
      <c r="C4" t="inlineStr">
        <is>
          <t>This Master Service Agreement establishes a three-year partnership between Braden Corp’s IT Division and Meridian</t>
        </is>
      </c>
      <c r="D4" t="inlineStr">
        <is>
          <t>Master Service Agreement</t>
        </is>
      </c>
      <c r="E4" t="inlineStr">
        <is>
          <t>2026-04-21T11:15:19.825784</t>
        </is>
      </c>
    </row>
    <row r="5">
      <c r="A5" t="inlineStr">
        <is>
          <t>CTR-004</t>
        </is>
      </c>
      <c r="B5" t="inlineStr">
        <is>
          <t>CTR-004_MSA_Pinnacle_Consulting.pdf</t>
        </is>
      </c>
      <c r="C5" t="inlineStr">
        <is>
          <t>This Master Service Agreement establishes a partnership between Braden Corp - Finance and Pinnacle Consulting Group for services</t>
        </is>
      </c>
      <c r="D5" t="inlineStr">
        <is>
          <t>Master Service Agreement</t>
        </is>
      </c>
      <c r="E5" t="inlineStr">
        <is>
          <t>2026-04-21T11:15:23.267357</t>
        </is>
      </c>
    </row>
    <row r="6">
      <c r="A6" t="inlineStr">
        <is>
          <t>CTR-005</t>
        </is>
      </c>
      <c r="B6" t="inlineStr">
        <is>
          <t>CTR-005_SOW_Vertex_Engineering.pdf</t>
        </is>
      </c>
      <c r="C6" t="inlineStr">
        <is>
          <t>Vertex Engineering Corp is providing services to Braden Corp - Operations under a $320,0</t>
        </is>
      </c>
      <c r="D6" t="inlineStr">
        <is>
          <t>Statement of Work</t>
        </is>
      </c>
      <c r="E6" t="inlineStr">
        <is>
          <t>2026-04-21T11:15:26.874417</t>
        </is>
      </c>
    </row>
    <row r="7">
      <c r="A7" t="inlineStr">
        <is>
          <t>CTR-006</t>
        </is>
      </c>
      <c r="B7" t="inlineStr">
        <is>
          <t>CTR-006_SOW_BlueStar_Services.pdf</t>
        </is>
      </c>
      <c r="C7" t="inlineStr">
        <is>
          <t>BlueStar Professional Services has entered into a $185,000 Statement of Work with</t>
        </is>
      </c>
      <c r="D7" t="inlineStr">
        <is>
          <t>Statement of Work</t>
        </is>
      </c>
      <c r="E7" t="inlineStr">
        <is>
          <t>2026-04-21T11:15:36.275115</t>
        </is>
      </c>
    </row>
    <row r="8">
      <c r="A8" t="inlineStr">
        <is>
          <t>CTR-007</t>
        </is>
      </c>
      <c r="B8" t="inlineStr">
        <is>
          <t>CTR-007_SOW_Crestline_Analytics.pdf</t>
        </is>
      </c>
      <c r="C8" t="inlineStr">
        <is>
          <t>This Statement of Work establishes an agreement between Braden Corp’s marketing department and Crestline</t>
        </is>
      </c>
      <c r="D8" t="inlineStr">
        <is>
          <t>Statement of Work</t>
        </is>
      </c>
      <c r="E8" t="inlineStr">
        <is>
          <t>2026-04-21T11:15:39.688515</t>
        </is>
      </c>
    </row>
    <row r="9">
      <c r="A9" t="inlineStr">
        <is>
          <t>CTR-008</t>
        </is>
      </c>
      <c r="B9" t="inlineStr">
        <is>
          <t>CTR-008_NDA_Horizon_Partners.docx</t>
        </is>
      </c>
      <c r="C9" t="inlineStr">
        <is>
          <t>This Non-Disclosure Agreement establishes a confidentiality arrangement between Horizon Strategic Partners and Braden Corp - Legal</t>
        </is>
      </c>
      <c r="D9" t="inlineStr">
        <is>
          <t>Non-Disclosure Agreement</t>
        </is>
      </c>
      <c r="E9" t="inlineStr">
        <is>
          <t>2026-04-21T11:15:43.356828</t>
        </is>
      </c>
    </row>
    <row r="10">
      <c r="A10" t="inlineStr">
        <is>
          <t>CTR-009</t>
        </is>
      </c>
      <c r="B10" t="inlineStr">
        <is>
          <t>CTR-009_NDA_Redwood_Innovations.docx</t>
        </is>
      </c>
      <c r="C10" t="inlineStr">
        <is>
          <t>This Non-Disclosure Agreement between Redwood Innovations Inc. and Braden Corp - R&amp;D establishes a framework for protecting non-public confidential information shared between</t>
        </is>
      </c>
      <c r="D10" t="inlineStr">
        <is>
          <t>Non-Disclosure Agreement</t>
        </is>
      </c>
      <c r="E10" t="inlineStr">
        <is>
          <t>2026-04-21T11:15:46.904181</t>
        </is>
      </c>
    </row>
    <row r="11">
      <c r="A11" t="inlineStr">
        <is>
          <t>CTR-010</t>
        </is>
      </c>
      <c r="B11" t="inlineStr">
        <is>
          <t>CTR-010_PurchaseAgreement_Cascade_Supply.pdf</t>
        </is>
      </c>
      <c r="C11" t="inlineStr">
        <is>
          <t>This Purchase Agreement between Cascade Supply Co. and Braden Corp covers services defined in future Statements of</t>
        </is>
      </c>
      <c r="D11" t="inlineStr">
        <is>
          <t>Purchase Agreement</t>
        </is>
      </c>
      <c r="E11" t="inlineStr">
        <is>
          <t>2026-04-21T11:15:50.218380</t>
        </is>
      </c>
    </row>
    <row r="12">
      <c r="A12" t="inlineStr">
        <is>
          <t>CTR-011</t>
        </is>
      </c>
      <c r="B12" t="inlineStr">
        <is>
          <t>CTR-011_PurchaseAgreement_Atlas_Materials.pdf</t>
        </is>
      </c>
      <c r="C12" t="inlineStr">
        <is>
          <t>This Purchase Agreement between Braden Corp - Manufacturing and Atlas Materials Group covers services to be defined</t>
        </is>
      </c>
      <c r="D12" t="inlineStr">
        <is>
          <t>Purchase Agreement</t>
        </is>
      </c>
      <c r="E12" t="inlineStr">
        <is>
          <t>2026-04-21T11:15:53.828466</t>
        </is>
      </c>
    </row>
    <row r="13">
      <c r="A13" t="inlineStr">
        <is>
          <t>CTR-012</t>
        </is>
      </c>
      <c r="B13" t="inlineStr">
        <is>
          <t>CTR-012_ServiceAgreement_Ironclad_Facilities.pdf</t>
        </is>
      </c>
      <c r="C13" t="inlineStr">
        <is>
          <t>Braden Corp - Facilities has engaged Ironclad Facilities Management for various services through December 31,</t>
        </is>
      </c>
      <c r="D13" t="inlineStr">
        <is>
          <t>Service Agreement</t>
        </is>
      </c>
      <c r="E13" t="inlineStr">
        <is>
          <t>2026-04-21T11:15:57.046968</t>
        </is>
      </c>
    </row>
    <row r="14">
      <c r="A14" t="inlineStr">
        <is>
          <t>CTR-013</t>
        </is>
      </c>
      <c r="B14" t="inlineStr">
        <is>
          <t>CTR-013_MSA_Strata_Cloud.pdf</t>
        </is>
      </c>
      <c r="C14" t="inlineStr">
        <is>
          <t>Strata Cloud Solutions has entered into a $3.6 million Master Service Agreement with</t>
        </is>
      </c>
      <c r="D14" t="inlineStr">
        <is>
          <t>Master Service Agreement</t>
        </is>
      </c>
      <c r="E14" t="inlineStr">
        <is>
          <t>2026-04-21T11:16:00.839606</t>
        </is>
      </c>
    </row>
    <row r="15">
      <c r="A15" t="inlineStr">
        <is>
          <t>CTR-014</t>
        </is>
      </c>
      <c r="B15" t="inlineStr">
        <is>
          <t>CTR-014_SOW_Nomad_Staffing.docx</t>
        </is>
      </c>
      <c r="C15" t="inlineStr">
        <is>
          <t>Nomad Staffing Solutions will provide professional services including project planning, implementation, and testing to Braden</t>
        </is>
      </c>
      <c r="D15" t="inlineStr">
        <is>
          <t>Statement of Work</t>
        </is>
      </c>
      <c r="E15" t="inlineStr">
        <is>
          <t>2026-04-21T11:16:04.059157</t>
        </is>
      </c>
    </row>
    <row r="16">
      <c r="A16" t="inlineStr">
        <is>
          <t>CTR-015</t>
        </is>
      </c>
      <c r="B16" t="inlineStr">
        <is>
          <t>CTR-015_Agreement_OldScan_Legacy.pdf</t>
        </is>
      </c>
      <c r="C16" t="inlineStr">
        <is>
          <t>This Service Agreement establishes a four-year partnership between Braden Corp - Facilities and Legacy Maintenance</t>
        </is>
      </c>
      <c r="D16" t="inlineStr">
        <is>
          <t>Service Agreement</t>
        </is>
      </c>
      <c r="E16" t="inlineStr">
        <is>
          <t>2026-04-21T11:16:07.397867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60" customWidth="1" min="4" max="4"/>
    <col width="27" customWidth="1" min="5" max="5"/>
    <col width="16" customWidth="1" min="6" max="6"/>
    <col width="28" customWidth="1" min="7" max="7"/>
  </cols>
  <sheetData>
    <row r="1">
      <c r="A1" s="1" t="inlineStr">
        <is>
          <t>ContractID</t>
        </is>
      </c>
      <c r="B1" s="1" t="inlineStr">
        <is>
          <t>RuleID</t>
        </is>
      </c>
      <c r="C1" s="1" t="inlineStr">
        <is>
          <t>SeverityTier</t>
        </is>
      </c>
      <c r="D1" s="1" t="inlineStr">
        <is>
          <t>Message</t>
        </is>
      </c>
      <c r="E1" s="1" t="inlineStr">
        <is>
          <t>Evidence</t>
        </is>
      </c>
      <c r="F1" s="1" t="inlineStr">
        <is>
          <t>FieldTriggered</t>
        </is>
      </c>
      <c r="G1" s="1" t="inlineStr">
        <is>
          <t>RuleTimestamp</t>
        </is>
      </c>
    </row>
    <row r="2">
      <c r="A2" t="inlineStr">
        <is>
          <t>CTR-002</t>
        </is>
      </c>
      <c r="B2" t="inlineStr">
        <is>
          <t>R005</t>
        </is>
      </c>
      <c r="C2" t="inlineStr">
        <is>
          <t>Medium</t>
        </is>
      </c>
      <c r="D2" t="inlineStr">
        <is>
          <t>Contract expiring within 90 days -- renewal decision needed</t>
        </is>
      </c>
      <c r="E2" t="inlineStr">
        <is>
          <t>2026-05-31</t>
        </is>
      </c>
      <c r="F2" t="inlineStr">
        <is>
          <t>ExpirationDate</t>
        </is>
      </c>
      <c r="G2" t="inlineStr">
        <is>
          <t>2026-04-21T11:07:49.327373</t>
        </is>
      </c>
    </row>
    <row r="3">
      <c r="A3" t="inlineStr">
        <is>
          <t>CTR-005</t>
        </is>
      </c>
      <c r="B3" t="inlineStr">
        <is>
          <t>R004</t>
        </is>
      </c>
      <c r="C3" t="inlineStr">
        <is>
          <t>High</t>
        </is>
      </c>
      <c r="D3" t="inlineStr">
        <is>
          <t>Contract appears expired -- verify active status before use</t>
        </is>
      </c>
      <c r="E3" t="inlineStr">
        <is>
          <t>2025-01-31</t>
        </is>
      </c>
      <c r="F3" t="inlineStr">
        <is>
          <t>ExpirationDate</t>
        </is>
      </c>
      <c r="G3" t="inlineStr">
        <is>
          <t>2026-04-21T11:07:49.327794</t>
        </is>
      </c>
    </row>
    <row r="4">
      <c r="A4" t="inlineStr">
        <is>
          <t>CTR-005</t>
        </is>
      </c>
      <c r="B4" t="inlineStr">
        <is>
          <t>R007</t>
        </is>
      </c>
      <c r="C4" t="inlineStr">
        <is>
          <t>High</t>
        </is>
      </c>
      <c r="D4" t="inlineStr">
        <is>
          <t>No liability cap clause found -- legal review recommended</t>
        </is>
      </c>
      <c r="F4" t="inlineStr">
        <is>
          <t>LiabilityCap</t>
        </is>
      </c>
      <c r="G4" t="inlineStr">
        <is>
          <t>2026-04-21T11:07:49.328033</t>
        </is>
      </c>
    </row>
    <row r="5">
      <c r="A5" t="inlineStr">
        <is>
          <t>CTR-006</t>
        </is>
      </c>
      <c r="B5" t="inlineStr">
        <is>
          <t>R004</t>
        </is>
      </c>
      <c r="C5" t="inlineStr">
        <is>
          <t>High</t>
        </is>
      </c>
      <c r="D5" t="inlineStr">
        <is>
          <t>Contract appears expired -- verify active status before use</t>
        </is>
      </c>
      <c r="E5" t="inlineStr">
        <is>
          <t>2025-04-14</t>
        </is>
      </c>
      <c r="F5" t="inlineStr">
        <is>
          <t>ExpirationDate</t>
        </is>
      </c>
      <c r="G5" t="inlineStr">
        <is>
          <t>2026-04-21T11:07:49.329556</t>
        </is>
      </c>
    </row>
    <row r="6">
      <c r="A6" t="inlineStr">
        <is>
          <t>CTR-006</t>
        </is>
      </c>
      <c r="B6" t="inlineStr">
        <is>
          <t>R007</t>
        </is>
      </c>
      <c r="C6" t="inlineStr">
        <is>
          <t>High</t>
        </is>
      </c>
      <c r="D6" t="inlineStr">
        <is>
          <t>No liability cap clause found -- legal review recommended</t>
        </is>
      </c>
      <c r="F6" t="inlineStr">
        <is>
          <t>LiabilityCap</t>
        </is>
      </c>
      <c r="G6" t="inlineStr">
        <is>
          <t>2026-04-21T11:07:49.329774</t>
        </is>
      </c>
    </row>
    <row r="7">
      <c r="A7" t="inlineStr">
        <is>
          <t>CTR-007</t>
        </is>
      </c>
      <c r="B7" t="inlineStr">
        <is>
          <t>R004</t>
        </is>
      </c>
      <c r="C7" t="inlineStr">
        <is>
          <t>High</t>
        </is>
      </c>
      <c r="D7" t="inlineStr">
        <is>
          <t>Contract appears expired -- verify active status before use</t>
        </is>
      </c>
      <c r="E7" t="inlineStr">
        <is>
          <t>2024-10-31</t>
        </is>
      </c>
      <c r="F7" t="inlineStr">
        <is>
          <t>ExpirationDate</t>
        </is>
      </c>
      <c r="G7" t="inlineStr">
        <is>
          <t>2026-04-21T11:07:49.329962</t>
        </is>
      </c>
    </row>
    <row r="8">
      <c r="A8" t="inlineStr">
        <is>
          <t>CTR-008</t>
        </is>
      </c>
      <c r="B8" t="inlineStr">
        <is>
          <t>R002</t>
        </is>
      </c>
      <c r="C8" t="inlineStr">
        <is>
          <t>Medium</t>
        </is>
      </c>
      <c r="D8" t="inlineStr">
        <is>
          <t>Contract value not extracted -- manual review required</t>
        </is>
      </c>
      <c r="F8" t="inlineStr">
        <is>
          <t>ContractValue</t>
        </is>
      </c>
      <c r="G8" t="inlineStr">
        <is>
          <t>2026-04-21T11:07:49.330140</t>
        </is>
      </c>
    </row>
    <row r="9">
      <c r="A9" t="inlineStr">
        <is>
          <t>CTR-008</t>
        </is>
      </c>
      <c r="B9" t="inlineStr">
        <is>
          <t>R003</t>
        </is>
      </c>
      <c r="C9" t="inlineStr">
        <is>
          <t>High</t>
        </is>
      </c>
      <c r="D9" t="inlineStr">
        <is>
          <t>Supplier name missing -- contract cannot be staged for Coupa</t>
        </is>
      </c>
      <c r="F9" t="inlineStr">
        <is>
          <t>Supplier</t>
        </is>
      </c>
      <c r="G9" t="inlineStr">
        <is>
          <t>2026-04-21T11:07:49.330275</t>
        </is>
      </c>
    </row>
    <row r="10">
      <c r="A10" t="inlineStr">
        <is>
          <t>CTR-008</t>
        </is>
      </c>
      <c r="B10" t="inlineStr">
        <is>
          <t>R007</t>
        </is>
      </c>
      <c r="C10" t="inlineStr">
        <is>
          <t>High</t>
        </is>
      </c>
      <c r="D10" t="inlineStr">
        <is>
          <t>No liability cap clause found -- legal review recommended</t>
        </is>
      </c>
      <c r="F10" t="inlineStr">
        <is>
          <t>LiabilityCap</t>
        </is>
      </c>
      <c r="G10" t="inlineStr">
        <is>
          <t>2026-04-21T11:07:49.330459</t>
        </is>
      </c>
    </row>
    <row r="11">
      <c r="A11" t="inlineStr">
        <is>
          <t>CTR-009</t>
        </is>
      </c>
      <c r="B11" t="inlineStr">
        <is>
          <t>R002</t>
        </is>
      </c>
      <c r="C11" t="inlineStr">
        <is>
          <t>Medium</t>
        </is>
      </c>
      <c r="D11" t="inlineStr">
        <is>
          <t>Contract value not extracted -- manual review required</t>
        </is>
      </c>
      <c r="F11" t="inlineStr">
        <is>
          <t>ContractValue</t>
        </is>
      </c>
      <c r="G11" t="inlineStr">
        <is>
          <t>2026-04-21T11:07:49.330602</t>
        </is>
      </c>
    </row>
    <row r="12">
      <c r="A12" t="inlineStr">
        <is>
          <t>CTR-009</t>
        </is>
      </c>
      <c r="B12" t="inlineStr">
        <is>
          <t>R003</t>
        </is>
      </c>
      <c r="C12" t="inlineStr">
        <is>
          <t>High</t>
        </is>
      </c>
      <c r="D12" t="inlineStr">
        <is>
          <t>Supplier name missing -- contract cannot be staged for Coupa</t>
        </is>
      </c>
      <c r="F12" t="inlineStr">
        <is>
          <t>Supplier</t>
        </is>
      </c>
      <c r="G12" t="inlineStr">
        <is>
          <t>2026-04-21T11:07:49.330738</t>
        </is>
      </c>
    </row>
    <row r="13">
      <c r="A13" t="inlineStr">
        <is>
          <t>CTR-009</t>
        </is>
      </c>
      <c r="B13" t="inlineStr">
        <is>
          <t>R007</t>
        </is>
      </c>
      <c r="C13" t="inlineStr">
        <is>
          <t>High</t>
        </is>
      </c>
      <c r="D13" t="inlineStr">
        <is>
          <t>No liability cap clause found -- legal review recommended</t>
        </is>
      </c>
      <c r="F13" t="inlineStr">
        <is>
          <t>LiabilityCap</t>
        </is>
      </c>
      <c r="G13" t="inlineStr">
        <is>
          <t>2026-04-21T11:07:49.330933</t>
        </is>
      </c>
    </row>
    <row r="14">
      <c r="A14" t="inlineStr">
        <is>
          <t>CTR-010</t>
        </is>
      </c>
      <c r="B14" t="inlineStr">
        <is>
          <t>R005</t>
        </is>
      </c>
      <c r="C14" t="inlineStr">
        <is>
          <t>Medium</t>
        </is>
      </c>
      <c r="D14" t="inlineStr">
        <is>
          <t>Contract expiring within 90 days -- renewal decision needed</t>
        </is>
      </c>
      <c r="E14" t="inlineStr">
        <is>
          <t>2026-05-15</t>
        </is>
      </c>
      <c r="F14" t="inlineStr">
        <is>
          <t>ExpirationDate</t>
        </is>
      </c>
      <c r="G14" t="inlineStr">
        <is>
          <t>2026-04-21T11:07:49.331140</t>
        </is>
      </c>
    </row>
    <row r="15">
      <c r="A15" t="inlineStr">
        <is>
          <t>CTR-011</t>
        </is>
      </c>
      <c r="B15" t="inlineStr">
        <is>
          <t>R005</t>
        </is>
      </c>
      <c r="C15" t="inlineStr">
        <is>
          <t>Medium</t>
        </is>
      </c>
      <c r="D15" t="inlineStr">
        <is>
          <t>Contract expiring within 90 days -- renewal decision needed</t>
        </is>
      </c>
      <c r="E15" t="inlineStr">
        <is>
          <t>2026-06-01</t>
        </is>
      </c>
      <c r="F15" t="inlineStr">
        <is>
          <t>ExpirationDate</t>
        </is>
      </c>
      <c r="G15" t="inlineStr">
        <is>
          <t>2026-04-21T11:07:49.331339</t>
        </is>
      </c>
    </row>
    <row r="16">
      <c r="A16" t="inlineStr">
        <is>
          <t>CTR-012</t>
        </is>
      </c>
      <c r="B16" t="inlineStr">
        <is>
          <t>R004</t>
        </is>
      </c>
      <c r="C16" t="inlineStr">
        <is>
          <t>High</t>
        </is>
      </c>
      <c r="D16" t="inlineStr">
        <is>
          <t>Contract appears expired -- verify active status before use</t>
        </is>
      </c>
      <c r="E16" t="inlineStr">
        <is>
          <t>2024-12-31</t>
        </is>
      </c>
      <c r="F16" t="inlineStr">
        <is>
          <t>ExpirationDate</t>
        </is>
      </c>
      <c r="G16" t="inlineStr">
        <is>
          <t>2026-04-21T11:07:49.331510</t>
        </is>
      </c>
    </row>
    <row r="17">
      <c r="A17" t="inlineStr">
        <is>
          <t>CTR-013</t>
        </is>
      </c>
      <c r="B17" t="inlineStr">
        <is>
          <t>R004</t>
        </is>
      </c>
      <c r="C17" t="inlineStr">
        <is>
          <t>High</t>
        </is>
      </c>
      <c r="D17" t="inlineStr">
        <is>
          <t>Contract appears expired -- verify active status before use</t>
        </is>
      </c>
      <c r="E17" t="inlineStr">
        <is>
          <t>2026-02-28</t>
        </is>
      </c>
      <c r="F17" t="inlineStr">
        <is>
          <t>ExpirationDate</t>
        </is>
      </c>
      <c r="G17" t="inlineStr">
        <is>
          <t>2026-04-21T11:07:49.331710</t>
        </is>
      </c>
    </row>
    <row r="18">
      <c r="A18" t="inlineStr">
        <is>
          <t>CTR-013</t>
        </is>
      </c>
      <c r="B18" t="inlineStr">
        <is>
          <t>R006</t>
        </is>
      </c>
      <c r="C18" t="inlineStr">
        <is>
          <t>Medium</t>
        </is>
      </c>
      <c r="D18" t="inlineStr">
        <is>
          <t>Auto-renewal clause detected -- review opt-out window</t>
        </is>
      </c>
      <c r="E18" t="inlineStr">
        <is>
          <t>Successive one-year terms</t>
        </is>
      </c>
      <c r="F18" t="inlineStr">
        <is>
          <t>AutoRenewal</t>
        </is>
      </c>
      <c r="G18" t="inlineStr">
        <is>
          <t>2026-04-21T11:07:49.331873</t>
        </is>
      </c>
    </row>
    <row r="19">
      <c r="A19" t="inlineStr">
        <is>
          <t>CTR-014</t>
        </is>
      </c>
      <c r="B19" t="inlineStr">
        <is>
          <t>R001</t>
        </is>
      </c>
      <c r="C19" t="inlineStr">
        <is>
          <t>High</t>
        </is>
      </c>
      <c r="D19" t="inlineStr">
        <is>
          <t>No expiration date found -- contract may be open-ended</t>
        </is>
      </c>
      <c r="E19" t="inlineStr">
        <is>
          <t>TBD</t>
        </is>
      </c>
      <c r="F19" t="inlineStr">
        <is>
          <t>ExpirationDate</t>
        </is>
      </c>
      <c r="G19" t="inlineStr">
        <is>
          <t>2026-04-21T11:07:49.332011</t>
        </is>
      </c>
    </row>
    <row r="20">
      <c r="A20" t="inlineStr">
        <is>
          <t>CTR-014</t>
        </is>
      </c>
      <c r="B20" t="inlineStr">
        <is>
          <t>R007</t>
        </is>
      </c>
      <c r="C20" t="inlineStr">
        <is>
          <t>High</t>
        </is>
      </c>
      <c r="D20" t="inlineStr">
        <is>
          <t>No liability cap clause found -- legal review recommended</t>
        </is>
      </c>
      <c r="F20" t="inlineStr">
        <is>
          <t>LiabilityCap</t>
        </is>
      </c>
      <c r="G20" t="inlineStr">
        <is>
          <t>2026-04-21T11:07:49.332133</t>
        </is>
      </c>
    </row>
    <row r="21">
      <c r="A21" t="inlineStr">
        <is>
          <t>CTR-015</t>
        </is>
      </c>
      <c r="B21" t="inlineStr">
        <is>
          <t>R004</t>
        </is>
      </c>
      <c r="C21" t="inlineStr">
        <is>
          <t>High</t>
        </is>
      </c>
      <c r="D21" t="inlineStr">
        <is>
          <t>Contract appears expired -- verify active status before use</t>
        </is>
      </c>
      <c r="E21" t="inlineStr">
        <is>
          <t>2025-05-31</t>
        </is>
      </c>
      <c r="F21" t="inlineStr">
        <is>
          <t>ExpirationDate</t>
        </is>
      </c>
      <c r="G21" t="inlineStr">
        <is>
          <t>2026-04-21T11:07:49.332301</t>
        </is>
      </c>
    </row>
    <row r="22">
      <c r="A22" t="inlineStr">
        <is>
          <t>CTR-015</t>
        </is>
      </c>
      <c r="B22" t="inlineStr">
        <is>
          <t>R007</t>
        </is>
      </c>
      <c r="C22" t="inlineStr">
        <is>
          <t>High</t>
        </is>
      </c>
      <c r="D22" t="inlineStr">
        <is>
          <t>No liability cap clause found -- legal review recommended</t>
        </is>
      </c>
      <c r="F22" t="inlineStr">
        <is>
          <t>LiabilityCap</t>
        </is>
      </c>
      <c r="G22" t="inlineStr">
        <is>
          <t>2026-04-21T11:07:49.332465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2026-04-21T16:36:57Z</dcterms:created>
  <dcterms:modified xmlns:dcterms="http://purl.org/dc/terms/" xmlns:xsi="http://www.w3.org/2001/XMLSchema-instance" xsi:type="dcterms:W3CDTF">2026-04-21T16:36:57Z</dcterms:modified>
</cp:coreProperties>
</file>